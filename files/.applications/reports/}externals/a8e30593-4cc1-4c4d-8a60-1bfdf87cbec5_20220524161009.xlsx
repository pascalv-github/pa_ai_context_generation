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xr:revisionPtr revIDLastSave="0" documentId="8_{D1A22BF1-0E42-4F7E-B6EC-ABD21004CCD7}" xr6:coauthVersionLast="47" xr6:coauthVersionMax="47" xr10:uidLastSave="{00000000-0000-0000-0000-000000000000}"/>
  <bookViews>
    <workbookView xWindow="1170" yWindow="1050" windowWidth="23715" windowHeight="14700" firstSheet="1" activeTab="1" xr2:uid="{DBD62F84-A8F0-43D2-96ED-C74696B299CF}"/>
  </bookViews>
  <sheets>
    <sheet name="Cognos_Office_Connection_Cache" sheetId="2" state="veryHidden" r:id="rId1"/>
    <sheet name="Sheet1" sheetId="1" r:id="rId2"/>
  </sheets>
  <definedNames>
    <definedName name="ID" localSheetId="0" hidden="1">"de194e92-9ab5-41f6-a871-62ac416cd9f7"</definedName>
    <definedName name="ID" localSheetId="1" hidden="1">"90a9edb6-c4d0-4f6b-aca7-3202d70d4fb9"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B2" i="1"/>
  <c r="B3" i="1"/>
  <c r="B5" i="1"/>
  <c r="B6" i="1"/>
  <c r="A1" i="1" l="1"/>
  <c r="F11" i="1"/>
  <c r="I9" i="1"/>
  <c r="H11" i="1"/>
  <c r="J10" i="1"/>
  <c r="F9" i="1"/>
  <c r="E10" i="1"/>
  <c r="D11" i="1"/>
  <c r="C12" i="1"/>
  <c r="G9" i="1"/>
  <c r="F10" i="1"/>
  <c r="E11" i="1"/>
  <c r="D12" i="1"/>
  <c r="E12" i="1"/>
  <c r="F12" i="1"/>
  <c r="M9" i="1"/>
  <c r="L10" i="1"/>
  <c r="K11" i="1"/>
  <c r="J12" i="1"/>
  <c r="G10" i="1"/>
  <c r="G11" i="1"/>
  <c r="I10" i="1"/>
  <c r="H12" i="1"/>
  <c r="L9" i="1"/>
  <c r="K10" i="1"/>
  <c r="J11" i="1"/>
  <c r="I12" i="1"/>
  <c r="B9" i="1"/>
  <c r="N9" i="1"/>
  <c r="M10" i="1"/>
  <c r="L11" i="1"/>
  <c r="K12" i="1"/>
  <c r="C9" i="1"/>
  <c r="B10" i="1"/>
  <c r="N10" i="1"/>
  <c r="M11" i="1"/>
  <c r="L12" i="1"/>
  <c r="H10" i="1"/>
  <c r="J9" i="1"/>
  <c r="I11" i="1"/>
  <c r="C10" i="1"/>
  <c r="B11" i="1"/>
  <c r="N11" i="1"/>
  <c r="M12" i="1"/>
  <c r="H9" i="1"/>
  <c r="G12" i="1"/>
  <c r="K9" i="1"/>
  <c r="D9" i="1"/>
  <c r="E9" i="1"/>
  <c r="D10" i="1"/>
  <c r="C11" i="1"/>
  <c r="B12" i="1"/>
  <c r="N12" i="1"/>
</calcChain>
</file>

<file path=xl/sharedStrings.xml><?xml version="1.0" encoding="utf-8"?>
<sst xmlns="http://schemas.openxmlformats.org/spreadsheetml/2006/main" count="22" uniqueCount="21">
  <si>
    <t>organization</t>
  </si>
  <si>
    <t>Revenue</t>
  </si>
  <si>
    <t>product</t>
  </si>
  <si>
    <t>Year</t>
  </si>
  <si>
    <t>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</si>
  <si>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</si>
  <si>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</si>
  <si>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</si>
  <si>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</si>
  <si>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</si>
  <si>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</si>
  <si>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</si>
  <si>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</si>
  <si>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</si>
  <si>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</si>
  <si>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</si>
  <si>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</si>
  <si>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Channel Total</t>
  </si>
  <si>
    <t>Retail</t>
  </si>
  <si>
    <t>Internet</t>
  </si>
  <si>
    <t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</si>
</sst>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2" fillId="0" borderId="2" applyFon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3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0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3" fontId="2" fillId="0" borderId="2" applyNumberFormat="0" applyBorder="0" applyAlignment="0" applyProtection="0"/>
    <xf numFmtId="0" fontId="2" fillId="0" borderId="2" applyNumberFormat="0" applyFill="0" applyAlignment="0" applyProtection="0"/>
    <xf numFmtId="0" fontId="2" fillId="0" borderId="2" applyNumberFormat="0" applyFill="0" applyAlignment="0" applyProtection="0"/>
    <xf numFmtId="0" fontId="2" fillId="0" borderId="2">
      <alignment horizontal="right" vertical="center"/>
    </xf>
    <xf numFmtId="3" fontId="2" fillId="2" borderId="2">
      <alignment horizontal="center" vertical="center"/>
    </xf>
    <xf numFmtId="0" fontId="2" fillId="2" borderId="2">
      <alignment horizontal="right" vertical="center"/>
    </xf>
    <xf numFmtId="0" fontId="1" fillId="0" borderId="3">
      <alignment horizontal="left" vertical="center"/>
    </xf>
    <xf numFmtId="0" fontId="1" fillId="0" borderId="4">
      <alignment horizontal="center" vertical="center"/>
    </xf>
    <xf numFmtId="0" fontId="3" fillId="0" borderId="5">
      <alignment horizontal="center" vertical="center"/>
    </xf>
    <xf numFmtId="0" fontId="2" fillId="3" borderId="2"/>
    <xf numFmtId="3" fontId="4" fillId="0" borderId="2"/>
    <xf numFmtId="3" fontId="5" fillId="0" borderId="2"/>
    <xf numFmtId="0" fontId="1" fillId="0" borderId="4">
      <alignment horizontal="left" vertical="top"/>
    </xf>
    <xf numFmtId="0" fontId="6" fillId="0" borderId="2"/>
    <xf numFmtId="0" fontId="1" fillId="0" borderId="4">
      <alignment horizontal="left" vertical="center"/>
    </xf>
    <xf numFmtId="0" fontId="2" fillId="2" borderId="6"/>
    <xf numFmtId="3" fontId="2" fillId="0" borderId="2">
      <alignment horizontal="right" vertical="center"/>
    </xf>
    <xf numFmtId="0" fontId="1" fillId="0" borderId="4">
      <alignment horizontal="right" vertical="center"/>
    </xf>
    <xf numFmtId="0" fontId="2" fillId="0" borderId="5">
      <alignment horizontal="center" vertical="center"/>
    </xf>
    <xf numFmtId="3" fontId="2" fillId="0" borderId="2"/>
    <xf numFmtId="3" fontId="2" fillId="0" borderId="2"/>
    <xf numFmtId="0" fontId="2" fillId="0" borderId="5">
      <alignment horizontal="center" vertical="center" wrapText="1"/>
    </xf>
    <xf numFmtId="0" fontId="7" fillId="0" borderId="5">
      <alignment horizontal="left" vertical="center" indent="1"/>
    </xf>
    <xf numFmtId="0" fontId="8" fillId="0" borderId="2"/>
    <xf numFmtId="0" fontId="1" fillId="0" borderId="3">
      <alignment horizontal="left" vertical="center"/>
    </xf>
    <xf numFmtId="3" fontId="2" fillId="0" borderId="2">
      <alignment horizontal="center" vertical="center"/>
    </xf>
    <xf numFmtId="0" fontId="1" fillId="0" borderId="4">
      <alignment horizontal="center" vertical="center"/>
    </xf>
    <xf numFmtId="0" fontId="1" fillId="0" borderId="4">
      <alignment horizontal="center" vertical="center"/>
    </xf>
    <xf numFmtId="0" fontId="1" fillId="0" borderId="3">
      <alignment horizontal="left" vertical="center"/>
    </xf>
    <xf numFmtId="0" fontId="1" fillId="0" borderId="3">
      <alignment horizontal="left" vertical="center"/>
    </xf>
    <xf numFmtId="0" fontId="9" fillId="0" borderId="2"/>
  </cellStyleXfs>
  <cellXfs count="10">
    <xf numFmtId="0" fontId="0" fillId="0" borderId="0" xfId="0"/>
    <xf numFmtId="0" fontId="10" fillId="0" borderId="0" xfId="0" applyFont="1" applyAlignment="1">
      <alignment horizontal="left"/>
    </xf>
    <xf numFmtId="0" fontId="2" fillId="0" borderId="2" xfId="27" applyAlignment="1"/>
    <xf numFmtId="0" fontId="2" fillId="0" borderId="2" xfId="27" quotePrefix="1" applyAlignment="1"/>
    <xf numFmtId="3" fontId="2" fillId="0" borderId="2" xfId="45"/>
    <xf numFmtId="0" fontId="1" fillId="0" borderId="4" xfId="52" quotePrefix="1">
      <alignment horizontal="center" vertical="center"/>
    </xf>
    <xf numFmtId="0" fontId="1" fillId="0" borderId="3" xfId="54" applyAlignment="1">
      <alignment horizontal="left" vertical="center"/>
    </xf>
    <xf numFmtId="0" fontId="1" fillId="0" borderId="3" xfId="54" quotePrefix="1" applyAlignment="1">
      <alignment horizontal="left" vertical="center"/>
    </xf>
    <xf numFmtId="0" fontId="1" fillId="0" borderId="3" xfId="54" quotePrefix="1" applyAlignment="1">
      <alignment horizontal="left" vertical="center" indent="1"/>
    </xf>
    <xf numFmtId="0" fontId="2" fillId="0" borderId="2" xfId="26" applyAlignment="1">
      <alignment horizontal="left"/>
    </xf>
  </cellXfs>
  <cellStyles count="56">
    <cellStyle name="AF Column - IBM Cognos" xfId="1" xr:uid="{AD0D3FC3-EBC3-41C9-A732-1280525BAAE5}"/>
    <cellStyle name="AF Data - IBM Cognos" xfId="2" xr:uid="{000031E0-0B61-487C-B0E9-560504750017}"/>
    <cellStyle name="AF Data 0 - IBM Cognos" xfId="3" xr:uid="{427E13B9-8B0A-4AB5-BA62-C8E7A4372DCD}"/>
    <cellStyle name="AF Data 1 - IBM Cognos" xfId="4" xr:uid="{7E63BC46-6465-4E44-80A1-4F618BF44681}"/>
    <cellStyle name="AF Data 2 - IBM Cognos" xfId="5" xr:uid="{D7F1C134-35DA-4401-80A8-A38D4C69C0A8}"/>
    <cellStyle name="AF Data 3 - IBM Cognos" xfId="6" xr:uid="{3C4172F7-69E2-4548-BE89-74531A29AE1C}"/>
    <cellStyle name="AF Data 4 - IBM Cognos" xfId="7" xr:uid="{14AE9EA3-72F5-449C-9C79-E61223562018}"/>
    <cellStyle name="AF Data 5 - IBM Cognos" xfId="8" xr:uid="{72CB26AE-4BB3-4E08-A780-54B906E8191F}"/>
    <cellStyle name="AF Data Leaf - IBM Cognos" xfId="9" xr:uid="{F3DF1951-CAA6-4C71-BDB2-FDD4C4FBA571}"/>
    <cellStyle name="AF Header - IBM Cognos" xfId="10" xr:uid="{921FD075-8BED-451B-B974-016502D3C0DD}"/>
    <cellStyle name="AF Header 0 - IBM Cognos" xfId="11" xr:uid="{D68DAB00-C2B1-47F4-87A7-3C751230EB97}"/>
    <cellStyle name="AF Header 1 - IBM Cognos" xfId="12" xr:uid="{DDD21662-39AF-4C8A-9CA7-A171F10AD059}"/>
    <cellStyle name="AF Header 2 - IBM Cognos" xfId="13" xr:uid="{17A8355C-6AB4-48AF-B724-B59D06F0917A}"/>
    <cellStyle name="AF Header 3 - IBM Cognos" xfId="14" xr:uid="{4406E59D-6CA6-4000-957D-83050AE5C274}"/>
    <cellStyle name="AF Header 4 - IBM Cognos" xfId="15" xr:uid="{FC999618-9ACB-4F10-A55B-D2FF218A78B8}"/>
    <cellStyle name="AF Header 5 - IBM Cognos" xfId="16" xr:uid="{63A1F76E-31A2-4B3D-B9AD-87903E9C2A20}"/>
    <cellStyle name="AF Header Leaf - IBM Cognos" xfId="17" xr:uid="{77E72518-F3C8-42ED-837E-5251DBB8C4AF}"/>
    <cellStyle name="AF Row - IBM Cognos" xfId="18" xr:uid="{5CC744C4-B4E8-4CFC-809D-959D903C7B8A}"/>
    <cellStyle name="AF Row 0 - IBM Cognos" xfId="19" xr:uid="{1282A229-9E18-4729-ABC3-06CF63BBD28E}"/>
    <cellStyle name="AF Row 1 - IBM Cognos" xfId="20" xr:uid="{5B525460-AC24-435E-AED4-111262B66E64}"/>
    <cellStyle name="AF Row 2 - IBM Cognos" xfId="21" xr:uid="{DD99DC6F-25EA-49D6-BF76-C2589A5AF26A}"/>
    <cellStyle name="AF Row 3 - IBM Cognos" xfId="22" xr:uid="{08201FEC-C13A-48AE-9C26-63847631AD63}"/>
    <cellStyle name="AF Row 4 - IBM Cognos" xfId="23" xr:uid="{8644F2DF-B947-4706-BE52-F120451495F0}"/>
    <cellStyle name="AF Row 5 - IBM Cognos" xfId="24" xr:uid="{75D1F3C2-0A4B-497A-97DB-E61BA88F9140}"/>
    <cellStyle name="AF Row Leaf - IBM Cognos" xfId="25" xr:uid="{1162FC2C-27FB-4551-BFC3-73DB7ED7D117}"/>
    <cellStyle name="AF Subnm - IBM Cognos" xfId="26" xr:uid="{2588360B-5014-4B4B-8834-63EFA2107FAA}"/>
    <cellStyle name="AF Title - IBM Cognos" xfId="27" xr:uid="{6DE425ED-B6A1-4F5A-8C80-5160B3EA59C3}"/>
    <cellStyle name="Calculated Column - IBM Cognos" xfId="28" xr:uid="{C3B8A16F-EF09-4898-9618-F5B611DD713B}"/>
    <cellStyle name="Calculated Column Name - IBM Cognos" xfId="29" xr:uid="{43A647D6-F7E1-4293-83D6-1A11A13DF9E9}"/>
    <cellStyle name="Calculated Row - IBM Cognos" xfId="30" xr:uid="{3AA6D96E-88C8-4631-92F9-13FD93E1AC58}"/>
    <cellStyle name="Calculated Row Name - IBM Cognos" xfId="31" xr:uid="{5B038A33-A0C7-48ED-9968-FD0848BF470C}"/>
    <cellStyle name="Column Name - IBM Cognos" xfId="32" xr:uid="{F3EC1318-CF04-4B52-A5F7-22E456375CDB}"/>
    <cellStyle name="Column Template - IBM Cognos" xfId="33" xr:uid="{7AB19BDE-8C74-44C3-93BF-3A9EEBF7C3DF}"/>
    <cellStyle name="Differs From Base - IBM Cognos" xfId="34" xr:uid="{11A65CD7-8556-4CAB-9942-B37D688341D3}"/>
    <cellStyle name="Edit - IBM Cognos" xfId="35" xr:uid="{E89D866F-80CD-4219-AA01-DE90F8F0ED31}"/>
    <cellStyle name="Formula - IBM Cognos" xfId="36" xr:uid="{BB868D36-8729-4B28-BD0B-CC32F615D2B7}"/>
    <cellStyle name="Group Name - IBM Cognos" xfId="37" xr:uid="{594CF504-139E-4068-96D5-5233404DAF78}"/>
    <cellStyle name="Hold Values - IBM Cognos" xfId="38" xr:uid="{7C2AC9EF-5AF4-4ACB-A9FA-4650273F52F0}"/>
    <cellStyle name="List Name - IBM Cognos" xfId="39" xr:uid="{A94390DA-1EA7-4EC2-8D15-7ACF1893426F}"/>
    <cellStyle name="Locked - IBM Cognos" xfId="40" xr:uid="{D75E7FCA-865D-4C79-9C2B-9C9F74DCF5BE}"/>
    <cellStyle name="Measure - IBM Cognos" xfId="41" xr:uid="{86E14552-90E2-4198-B9FF-6B0FADF3D3BA}"/>
    <cellStyle name="Measure Header - IBM Cognos" xfId="42" xr:uid="{90EBF2B8-C1E0-49C6-8F7C-142ED22E93C9}"/>
    <cellStyle name="Measure Name - IBM Cognos" xfId="43" xr:uid="{9A2E9B7D-20F7-4846-9D69-445E4B12D663}"/>
    <cellStyle name="Measure Summary - IBM Cognos" xfId="44" xr:uid="{ACB3C03C-D0F2-4D01-A07D-70578234099C}"/>
    <cellStyle name="Measure Summary TM1 - IBM Cognos" xfId="45" xr:uid="{A28E1AA2-3DDB-4206-92D0-EF4C3F6ECF1B}"/>
    <cellStyle name="Measure Template - IBM Cognos" xfId="46" xr:uid="{30CFD781-D9E4-4028-A8F1-9C7830045A4E}"/>
    <cellStyle name="More - IBM Cognos" xfId="47" xr:uid="{705BAAB5-2608-48F0-891E-35EA70692071}"/>
    <cellStyle name="Normal" xfId="0" builtinId="0" customBuiltin="1"/>
    <cellStyle name="Pending Change - IBM Cognos" xfId="48" xr:uid="{4049CE36-DB76-428E-9B33-B30A1B721E8D}"/>
    <cellStyle name="Row Name - IBM Cognos" xfId="49" xr:uid="{37CC9EDB-DD16-4540-81C4-A92465C8AD11}"/>
    <cellStyle name="Row Template - IBM Cognos" xfId="50" xr:uid="{271874CA-1EA0-4565-AD3F-D2E12BB60052}"/>
    <cellStyle name="Summary Column Name - IBM Cognos" xfId="51" xr:uid="{F7484733-869D-49C6-866E-BBA9E86DCCB6}"/>
    <cellStyle name="Summary Column Name TM1 - IBM Cognos" xfId="52" xr:uid="{DA5D21BF-6250-4AB2-A781-FAD1AAE5C8C8}"/>
    <cellStyle name="Summary Row Name - IBM Cognos" xfId="53" xr:uid="{7AB5B052-2115-4440-9006-DBC0C9050575}"/>
    <cellStyle name="Summary Row Name TM1 - IBM Cognos" xfId="54" xr:uid="{0B73A74A-DE2A-4B58-8BDE-A2BDDC8BECA2}"/>
    <cellStyle name="Unsaved Change - IBM Cognos" xfId="55" xr:uid="{7431BEF2-402F-4BF3-BD08-8E020570E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CD4E-9812-4677-99DD-CD0C99103FD2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436C-8AEF-4DB7-92C9-8297E6B4CD24}">
  <dimension ref="A1:N12"/>
  <sheetViews>
    <sheetView tabSelected="1" workbookViewId="0"/>
  </sheetViews>
  <sheetFormatPr defaultRowHeight="15" x14ac:dyDescent="0.25"/>
  <cols>
    <col min="1" max="1" width="15.85546875" bestFit="1" customWidth="1"/>
    <col min="2" max="14" width="12.140625" bestFit="1" customWidth="1"/>
  </cols>
  <sheetData>
    <row r="1" spans="1:14" x14ac:dyDescent="0.25">
      <c r="A1" s="2" t="str">
        <f>_xll.VIEW("24Retail:Revenue",$B$2,"!",$B$4,"!",$B$5,$B$6,$B$3)</f>
        <v>24Retail:Revenue</v>
      </c>
      <c r="B1" s="1"/>
    </row>
    <row r="2" spans="1:14" x14ac:dyDescent="0.25">
      <c r="A2" s="3" t="s">
        <v>0</v>
      </c>
      <c r="B2" s="9" t="str">
        <f>_xll.SUBNM("24Retail:organization","Workflow","Massachusetts","Caption_Default")</f>
        <v>Massachusetts</v>
      </c>
    </row>
    <row r="3" spans="1:14" x14ac:dyDescent="0.25">
      <c r="A3" s="3" t="s">
        <v>1</v>
      </c>
      <c r="B3" s="9" t="str">
        <f>_xll.SUBNM("24Retail:Revenue","Default","Volume - Units","Caption_Default")</f>
        <v>Volume - Units</v>
      </c>
    </row>
    <row r="4" spans="1:14" x14ac:dyDescent="0.25">
      <c r="A4" s="3" t="s">
        <v>2</v>
      </c>
      <c r="B4" s="9" t="str">
        <f>_xll.SUBNM("24Retail:product","All Members","Product Total","Caption_Default")</f>
        <v>Product Total</v>
      </c>
    </row>
    <row r="5" spans="1:14" x14ac:dyDescent="0.25">
      <c r="A5" s="3" t="s">
        <v>3</v>
      </c>
      <c r="B5" s="9" t="str">
        <f>_xll.SUBNM("24Retail:Year","Default","2021","Caption_Default")</f>
        <v>2021</v>
      </c>
    </row>
    <row r="6" spans="1:14" x14ac:dyDescent="0.25">
      <c r="A6" s="3" t="s">
        <v>4</v>
      </c>
      <c r="B6" s="9" t="str">
        <f>_xll.SUBNM("24Retail:Version","Current","Budget","Caption_Default")</f>
        <v>Budget</v>
      </c>
    </row>
    <row r="8" spans="1:14" ht="15.75" thickBot="1" x14ac:dyDescent="0.3">
      <c r="A8" s="6"/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  <c r="K8" s="5" t="s">
        <v>14</v>
      </c>
      <c r="L8" s="5" t="s">
        <v>15</v>
      </c>
      <c r="M8" s="5" t="s">
        <v>16</v>
      </c>
      <c r="N8" s="5" t="s">
        <v>3</v>
      </c>
    </row>
    <row r="9" spans="1:14" x14ac:dyDescent="0.25">
      <c r="A9" s="7" t="s">
        <v>17</v>
      </c>
      <c r="B9" s="4">
        <f>_xll.DBRW($A$1,$B$2,$A9,$B$4,B$8,$B$5,$B$6,$B$3)</f>
        <v>2195.9672843061808</v>
      </c>
      <c r="C9" s="4">
        <f>_xll.DBRW($A$1,$B$2,$A9,$B$4,C$8,$B$5,$B$6,$B$3)</f>
        <v>3365.0793358309111</v>
      </c>
      <c r="D9" s="4">
        <f>_xll.DBRW($A$1,$B$2,$A9,$B$4,D$8,$B$5,$B$6,$B$3)</f>
        <v>2335.2850983944327</v>
      </c>
      <c r="E9" s="4">
        <f>_xll.DBRW($A$1,$B$2,$A9,$B$4,E$8,$B$5,$B$6,$B$3)</f>
        <v>2183.2776079172609</v>
      </c>
      <c r="F9" s="4">
        <f>_xll.DBRW($A$1,$B$2,$A9,$B$4,F$8,$B$5,$B$6,$B$3)</f>
        <v>2534.7274048736454</v>
      </c>
      <c r="G9" s="4">
        <f>_xll.DBRW($A$1,$B$2,$A9,$B$4,G$8,$B$5,$B$6,$B$3)</f>
        <v>2230.6576682009936</v>
      </c>
      <c r="H9" s="4">
        <f>_xll.DBRW($A$1,$B$2,$A9,$B$4,H$8,$B$5,$B$6,$B$3)</f>
        <v>2265.8750762020136</v>
      </c>
      <c r="I9" s="4">
        <f>_xll.DBRW($A$1,$B$2,$A9,$B$4,I$8,$B$5,$B$6,$B$3)</f>
        <v>2309.1928902902655</v>
      </c>
      <c r="J9" s="4">
        <f>_xll.DBRW($A$1,$B$2,$A9,$B$4,J$8,$B$5,$B$6,$B$3)</f>
        <v>2375.64268724665</v>
      </c>
      <c r="K9" s="4">
        <f>_xll.DBRW($A$1,$B$2,$A9,$B$4,K$8,$B$5,$B$6,$B$3)</f>
        <v>3288.5799940440247</v>
      </c>
      <c r="L9" s="4">
        <f>_xll.DBRW($A$1,$B$2,$A9,$B$4,L$8,$B$5,$B$6,$B$3)</f>
        <v>3359.7130417644244</v>
      </c>
      <c r="M9" s="4">
        <f>_xll.DBRW($A$1,$B$2,$A9,$B$4,M$8,$B$5,$B$6,$B$3)</f>
        <v>3470.9198211976241</v>
      </c>
      <c r="N9" s="4">
        <f>_xll.DBRW($A$1,$B$2,$A9,$B$4,N$8,$B$5,$B$6,$B$3)</f>
        <v>31914.917910268432</v>
      </c>
    </row>
    <row r="10" spans="1:14" x14ac:dyDescent="0.25">
      <c r="A10" s="8" t="s">
        <v>18</v>
      </c>
      <c r="B10" s="4">
        <f>_xll.DBRW($A$1,$B$2,$A10,$B$4,B$8,$B$5,$B$6,$B$3)</f>
        <v>732</v>
      </c>
      <c r="C10" s="4">
        <f>_xll.DBRW($A$1,$B$2,$A10,$B$4,C$8,$B$5,$B$6,$B$3)</f>
        <v>1122</v>
      </c>
      <c r="D10" s="4">
        <f>_xll.DBRW($A$1,$B$2,$A10,$B$4,D$8,$B$5,$B$6,$B$3)</f>
        <v>778</v>
      </c>
      <c r="E10" s="4">
        <f>_xll.DBRW($A$1,$B$2,$A10,$B$4,E$8,$B$5,$B$6,$B$3)</f>
        <v>728</v>
      </c>
      <c r="F10" s="4">
        <f>_xll.DBRW($A$1,$B$2,$A10,$B$4,F$8,$B$5,$B$6,$B$3)</f>
        <v>845</v>
      </c>
      <c r="G10" s="4">
        <f>_xll.DBRW($A$1,$B$2,$A10,$B$4,G$8,$B$5,$B$6,$B$3)</f>
        <v>744</v>
      </c>
      <c r="H10" s="4">
        <f>_xll.DBRW($A$1,$B$2,$A10,$B$4,H$8,$B$5,$B$6,$B$3)</f>
        <v>755</v>
      </c>
      <c r="I10" s="4">
        <f>_xll.DBRW($A$1,$B$2,$A10,$B$4,I$8,$B$5,$B$6,$B$3)</f>
        <v>770</v>
      </c>
      <c r="J10" s="4">
        <f>_xll.DBRW($A$1,$B$2,$A10,$B$4,J$8,$B$5,$B$6,$B$3)</f>
        <v>792</v>
      </c>
      <c r="K10" s="4">
        <f>_xll.DBRW($A$1,$B$2,$A10,$B$4,K$8,$B$5,$B$6,$B$3)</f>
        <v>1096</v>
      </c>
      <c r="L10" s="4">
        <f>_xll.DBRW($A$1,$B$2,$A10,$B$4,L$8,$B$5,$B$6,$B$3)</f>
        <v>1120</v>
      </c>
      <c r="M10" s="4">
        <f>_xll.DBRW($A$1,$B$2,$A10,$B$4,M$8,$B$5,$B$6,$B$3)</f>
        <v>1157</v>
      </c>
      <c r="N10" s="4">
        <f>_xll.DBRW($A$1,$B$2,$A10,$B$4,N$8,$B$5,$B$6,$B$3)</f>
        <v>10639</v>
      </c>
    </row>
    <row r="11" spans="1:14" x14ac:dyDescent="0.25">
      <c r="A11" s="8" t="s">
        <v>19</v>
      </c>
      <c r="B11" s="4">
        <f>_xll.DBRW($A$1,$B$2,$A11,$B$4,B$8,$B$5,$B$6,$B$3)</f>
        <v>731.96728430618077</v>
      </c>
      <c r="C11" s="4">
        <f>_xll.DBRW($A$1,$B$2,$A11,$B$4,C$8,$B$5,$B$6,$B$3)</f>
        <v>1121.0793358309111</v>
      </c>
      <c r="D11" s="4">
        <f>_xll.DBRW($A$1,$B$2,$A11,$B$4,D$8,$B$5,$B$6,$B$3)</f>
        <v>779.28509839443268</v>
      </c>
      <c r="E11" s="4">
        <f>_xll.DBRW($A$1,$B$2,$A11,$B$4,E$8,$B$5,$B$6,$B$3)</f>
        <v>727.27760791726109</v>
      </c>
      <c r="F11" s="4">
        <f>_xll.DBRW($A$1,$B$2,$A11,$B$4,F$8,$B$5,$B$6,$B$3)</f>
        <v>844.72740487364536</v>
      </c>
      <c r="G11" s="4">
        <f>_xll.DBRW($A$1,$B$2,$A11,$B$4,G$8,$B$5,$B$6,$B$3)</f>
        <v>742.65766820099338</v>
      </c>
      <c r="H11" s="4">
        <f>_xll.DBRW($A$1,$B$2,$A11,$B$4,H$8,$B$5,$B$6,$B$3)</f>
        <v>755.87507620201382</v>
      </c>
      <c r="I11" s="4">
        <f>_xll.DBRW($A$1,$B$2,$A11,$B$4,I$8,$B$5,$B$6,$B$3)</f>
        <v>769.19289029026572</v>
      </c>
      <c r="J11" s="4">
        <f>_xll.DBRW($A$1,$B$2,$A11,$B$4,J$8,$B$5,$B$6,$B$3)</f>
        <v>791.64268724664998</v>
      </c>
      <c r="K11" s="4">
        <f>_xll.DBRW($A$1,$B$2,$A11,$B$4,K$8,$B$5,$B$6,$B$3)</f>
        <v>1096.5799940440247</v>
      </c>
      <c r="L11" s="4">
        <f>_xll.DBRW($A$1,$B$2,$A11,$B$4,L$8,$B$5,$B$6,$B$3)</f>
        <v>1119.7130417644244</v>
      </c>
      <c r="M11" s="4">
        <f>_xll.DBRW($A$1,$B$2,$A11,$B$4,M$8,$B$5,$B$6,$B$3)</f>
        <v>1156.9198211976241</v>
      </c>
      <c r="N11" s="4">
        <f>_xll.DBRW($A$1,$B$2,$A11,$B$4,N$8,$B$5,$B$6,$B$3)</f>
        <v>10636.917910268425</v>
      </c>
    </row>
    <row r="12" spans="1:14" x14ac:dyDescent="0.25">
      <c r="A12" s="8" t="s">
        <v>20</v>
      </c>
      <c r="B12" s="4">
        <f>_xll.DBRW($A$1,$B$2,$A12,$B$4,B$8,$B$5,$B$6,$B$3)</f>
        <v>732</v>
      </c>
      <c r="C12" s="4">
        <f>_xll.DBRW($A$1,$B$2,$A12,$B$4,C$8,$B$5,$B$6,$B$3)</f>
        <v>1122</v>
      </c>
      <c r="D12" s="4">
        <f>_xll.DBRW($A$1,$B$2,$A12,$B$4,D$8,$B$5,$B$6,$B$3)</f>
        <v>778</v>
      </c>
      <c r="E12" s="4">
        <f>_xll.DBRW($A$1,$B$2,$A12,$B$4,E$8,$B$5,$B$6,$B$3)</f>
        <v>728</v>
      </c>
      <c r="F12" s="4">
        <f>_xll.DBRW($A$1,$B$2,$A12,$B$4,F$8,$B$5,$B$6,$B$3)</f>
        <v>845</v>
      </c>
      <c r="G12" s="4">
        <f>_xll.DBRW($A$1,$B$2,$A12,$B$4,G$8,$B$5,$B$6,$B$3)</f>
        <v>744</v>
      </c>
      <c r="H12" s="4">
        <f>_xll.DBRW($A$1,$B$2,$A12,$B$4,H$8,$B$5,$B$6,$B$3)</f>
        <v>755</v>
      </c>
      <c r="I12" s="4">
        <f>_xll.DBRW($A$1,$B$2,$A12,$B$4,I$8,$B$5,$B$6,$B$3)</f>
        <v>770</v>
      </c>
      <c r="J12" s="4">
        <f>_xll.DBRW($A$1,$B$2,$A12,$B$4,J$8,$B$5,$B$6,$B$3)</f>
        <v>792</v>
      </c>
      <c r="K12" s="4">
        <f>_xll.DBRW($A$1,$B$2,$A12,$B$4,K$8,$B$5,$B$6,$B$3)</f>
        <v>1096</v>
      </c>
      <c r="L12" s="4">
        <f>_xll.DBRW($A$1,$B$2,$A12,$B$4,L$8,$B$5,$B$6,$B$3)</f>
        <v>1120</v>
      </c>
      <c r="M12" s="4">
        <f>_xll.DBRW($A$1,$B$2,$A12,$B$4,M$8,$B$5,$B$6,$B$3)</f>
        <v>1157</v>
      </c>
      <c r="N12" s="4">
        <f>_xll.DBRW($A$1,$B$2,$A12,$B$4,N$8,$B$5,$B$6,$B$3)</f>
        <v>10639</v>
      </c>
    </row>
  </sheetData>
  <pageMargins left="0.7" right="0.7" top="0.75" bottom="0.75" header="0.3" footer="0.3"/>
  <customProperties>
    <customPr name="COR_LastLabelRowStar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2022-05-24T16:09:17Z</dcterms:created>
  <dcterms:modified xsi:type="dcterms:W3CDTF">2022-05-24T16:09:54Z</dcterms:modified>
</cp:coreProperties>
</file>
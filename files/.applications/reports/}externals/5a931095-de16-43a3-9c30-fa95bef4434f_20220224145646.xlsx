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BM Demos\24Retail\"/>
    </mc:Choice>
  </mc:AlternateContent>
  <xr:revisionPtr revIDLastSave="0" documentId="8_{31229EF6-0D6E-4714-B6C7-A310FC75259E}" xr6:coauthVersionLast="47" xr6:coauthVersionMax="47" xr10:uidLastSave="{00000000-0000-0000-0000-000000000000}"/>
  <bookViews>
    <workbookView xWindow="-120" yWindow="-120" windowWidth="25440" windowHeight="15540" firstSheet="1" activeTab="1" xr2:uid="{98FE4FA8-3EC0-4AAB-BF21-A91664F53647}"/>
  </bookViews>
  <sheets>
    <sheet name="Cognos_Office_Connection_Cache" sheetId="2" state="veryHidden" r:id="rId1"/>
    <sheet name="Rolling Fcst" sheetId="1" r:id="rId2"/>
  </sheets>
  <externalReferences>
    <externalReference r:id="rId3"/>
  </externalReferences>
  <definedNames>
    <definedName name="cafe_validation_temp" hidden="1">Cognos_Office_Connection_Cache!$B$2:$B$14</definedName>
    <definedName name="ID" localSheetId="0" hidden="1">"d65db505-4d35-4d3e-ba38-d84227f371ab"</definedName>
    <definedName name="ID" localSheetId="1" hidden="1">"c08fb253-0be7-437c-9e6d-cd8677475923"</definedName>
    <definedName name="organization">[1]TgtVar!$C$13</definedName>
    <definedName name="TM1RPTDATARNG14022269" localSheetId="1">'Rolling Fcst'!$23:$35</definedName>
    <definedName name="TM1RPTFMTIDCOL" localSheetId="1">'Rolling Fcst'!$A$1:$A$74</definedName>
    <definedName name="TM1RPTFMTIDCOL14022269" localSheetId="1">'Rolling Fcst'!$B$3:$B$12</definedName>
    <definedName name="TM1RPTFMTRNG" localSheetId="1">'Rolling Fcst'!$C$1:$Q$74</definedName>
    <definedName name="TM1RPTFMTRNG14022269" localSheetId="1">'Rolling Fcst'!$C$3:$Q$12</definedName>
    <definedName name="TM1RPTQRYRNG14022269" localSheetId="1">'Rolling Fcst'!$C$13</definedName>
    <definedName name="TM1RPTVIEWRNG14022269" localSheetId="1">'Rolling Fcst'!$C$14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6" i="1" l="1"/>
  <c r="D16" i="1"/>
  <c r="E16" i="1"/>
  <c r="D34" i="1"/>
  <c r="D30" i="1"/>
  <c r="D26" i="1"/>
  <c r="D25" i="1"/>
  <c r="F16" i="1"/>
  <c r="J19" i="1" s="1"/>
  <c r="G19" i="1"/>
  <c r="M19" i="1"/>
  <c r="D32" i="1"/>
  <c r="O19" i="1"/>
  <c r="D33" i="1"/>
  <c r="D29" i="1"/>
  <c r="E19" i="1"/>
  <c r="D31" i="1"/>
  <c r="K19" i="1"/>
  <c r="D24" i="1"/>
  <c r="L19" i="1"/>
  <c r="H19" i="1"/>
  <c r="N19" i="1"/>
  <c r="D28" i="1"/>
  <c r="I19" i="1"/>
  <c r="G16" i="1"/>
  <c r="P19" i="1"/>
  <c r="D35" i="1"/>
  <c r="F19" i="1"/>
  <c r="D27" i="1"/>
  <c r="C14" i="1"/>
  <c r="I26" i="1"/>
  <c r="O25" i="1"/>
  <c r="I24" i="1"/>
  <c r="K24" i="1"/>
  <c r="O27" i="1"/>
  <c r="B35" i="1"/>
  <c r="B25" i="1"/>
  <c r="L27" i="1"/>
  <c r="H25" i="1"/>
  <c r="F27" i="1"/>
  <c r="N25" i="1"/>
  <c r="K27" i="1"/>
  <c r="B29" i="1"/>
  <c r="B26" i="1"/>
  <c r="B28" i="1"/>
  <c r="G25" i="1"/>
  <c r="K26" i="1"/>
  <c r="E26" i="1"/>
  <c r="H27" i="1"/>
  <c r="B27" i="1"/>
  <c r="B31" i="1"/>
  <c r="J26" i="1"/>
  <c r="N27" i="1"/>
  <c r="N24" i="1"/>
  <c r="P27" i="1"/>
  <c r="F25" i="1"/>
  <c r="B32" i="1"/>
  <c r="C23" i="1"/>
  <c r="D23" i="1" s="1"/>
  <c r="M27" i="1"/>
  <c r="P25" i="1"/>
  <c r="Q25" i="1"/>
  <c r="L24" i="1"/>
  <c r="G27" i="1"/>
  <c r="B34" i="1"/>
  <c r="B30" i="1"/>
  <c r="L26" i="1"/>
  <c r="O26" i="1"/>
  <c r="F26" i="1"/>
  <c r="I25" i="1"/>
  <c r="Q26" i="1"/>
  <c r="I27" i="1"/>
  <c r="Q24" i="1"/>
  <c r="M26" i="1"/>
  <c r="H26" i="1"/>
  <c r="C2" i="1"/>
  <c r="F24" i="1" s="1"/>
  <c r="N26" i="1"/>
  <c r="G24" i="1"/>
  <c r="J24" i="1"/>
  <c r="Q27" i="1"/>
  <c r="G26" i="1"/>
  <c r="B24" i="1"/>
  <c r="Q23" i="1"/>
  <c r="E25" i="1"/>
  <c r="J25" i="1"/>
  <c r="M25" i="1"/>
  <c r="M24" i="1"/>
  <c r="O24" i="1"/>
  <c r="P26" i="1"/>
  <c r="E24" i="1"/>
  <c r="B33" i="1"/>
  <c r="P24" i="1"/>
  <c r="L25" i="1"/>
  <c r="H24" i="1"/>
  <c r="E27" i="1"/>
  <c r="J27" i="1"/>
  <c r="B23" i="1"/>
  <c r="K25" i="1"/>
  <c r="Q28" i="1" l="1"/>
  <c r="Q33" i="1" s="1"/>
  <c r="F18" i="1"/>
  <c r="P18" i="1"/>
  <c r="I18" i="1"/>
  <c r="N18" i="1"/>
  <c r="H18" i="1"/>
  <c r="L18" i="1"/>
  <c r="K18" i="1"/>
  <c r="E18" i="1"/>
  <c r="O18" i="1"/>
  <c r="M18" i="1"/>
  <c r="G18" i="1"/>
  <c r="J18" i="1"/>
  <c r="K30" i="1"/>
  <c r="E30" i="1"/>
  <c r="Q31" i="1"/>
  <c r="N29" i="1"/>
  <c r="O32" i="1"/>
  <c r="P23" i="1"/>
  <c r="J32" i="1"/>
  <c r="I30" i="1"/>
  <c r="N32" i="1"/>
  <c r="K29" i="1"/>
  <c r="G23" i="1"/>
  <c r="G31" i="1"/>
  <c r="F31" i="1"/>
  <c r="J31" i="1"/>
  <c r="I29" i="1"/>
  <c r="N23" i="1"/>
  <c r="H23" i="1"/>
  <c r="E31" i="1"/>
  <c r="J23" i="1"/>
  <c r="G30" i="1"/>
  <c r="F29" i="1"/>
  <c r="K32" i="1"/>
  <c r="N30" i="1"/>
  <c r="M32" i="1"/>
  <c r="F30" i="1"/>
  <c r="M23" i="1"/>
  <c r="E32" i="1"/>
  <c r="L31" i="1"/>
  <c r="F32" i="1"/>
  <c r="I32" i="1"/>
  <c r="H29" i="1"/>
  <c r="Q32" i="1"/>
  <c r="O31" i="1"/>
  <c r="H32" i="1"/>
  <c r="O30" i="1"/>
  <c r="I31" i="1"/>
  <c r="K31" i="1"/>
  <c r="Q30" i="1"/>
  <c r="M29" i="1"/>
  <c r="L32" i="1"/>
  <c r="L30" i="1"/>
  <c r="J29" i="1"/>
  <c r="F23" i="1"/>
  <c r="L23" i="1"/>
  <c r="K23" i="1"/>
  <c r="E23" i="1"/>
  <c r="H30" i="1"/>
  <c r="P29" i="1"/>
  <c r="G29" i="1"/>
  <c r="G32" i="1"/>
  <c r="P31" i="1"/>
  <c r="P30" i="1"/>
  <c r="M31" i="1"/>
  <c r="Q29" i="1"/>
  <c r="P32" i="1"/>
  <c r="E29" i="1"/>
  <c r="N31" i="1"/>
  <c r="L29" i="1"/>
  <c r="I23" i="1"/>
  <c r="H31" i="1"/>
  <c r="J30" i="1"/>
  <c r="O29" i="1"/>
  <c r="M30" i="1"/>
  <c r="O23" i="1"/>
  <c r="O28" i="1" l="1"/>
  <c r="O33" i="1" s="1"/>
  <c r="I28" i="1"/>
  <c r="I33" i="1" s="1"/>
  <c r="E28" i="1"/>
  <c r="E33" i="1" s="1"/>
  <c r="K28" i="1"/>
  <c r="K33" i="1" s="1"/>
  <c r="L28" i="1"/>
  <c r="L33" i="1" s="1"/>
  <c r="F28" i="1"/>
  <c r="F33" i="1" s="1"/>
  <c r="M28" i="1"/>
  <c r="M33" i="1" s="1"/>
  <c r="J28" i="1"/>
  <c r="J33" i="1" s="1"/>
  <c r="H28" i="1"/>
  <c r="H33" i="1" s="1"/>
  <c r="N28" i="1"/>
  <c r="N33" i="1" s="1"/>
  <c r="G28" i="1"/>
  <c r="G33" i="1" s="1"/>
  <c r="P28" i="1"/>
  <c r="P33" i="1" s="1"/>
  <c r="N35" i="1"/>
  <c r="E35" i="1"/>
  <c r="M35" i="1"/>
  <c r="F34" i="1"/>
  <c r="K35" i="1"/>
  <c r="O34" i="1"/>
  <c r="G35" i="1"/>
  <c r="J35" i="1"/>
  <c r="J34" i="1"/>
  <c r="L34" i="1"/>
  <c r="M34" i="1"/>
  <c r="Q34" i="1"/>
  <c r="K34" i="1"/>
  <c r="F35" i="1"/>
  <c r="L35" i="1"/>
  <c r="N34" i="1"/>
  <c r="I35" i="1"/>
  <c r="I34" i="1"/>
  <c r="E34" i="1"/>
  <c r="Q35" i="1"/>
  <c r="P35" i="1"/>
  <c r="O35" i="1"/>
  <c r="G34" i="1"/>
  <c r="H34" i="1"/>
  <c r="H35" i="1"/>
  <c r="P34" i="1"/>
</calcChain>
</file>

<file path=xl/sharedStrings.xml><?xml version="1.0" encoding="utf-8"?>
<sst xmlns="http://schemas.openxmlformats.org/spreadsheetml/2006/main" count="62" uniqueCount="41">
  <si>
    <t>[Begin Format Range]</t>
  </si>
  <si>
    <t>Element Name</t>
  </si>
  <si>
    <t>Default</t>
  </si>
  <si>
    <t>Leaf</t>
  </si>
  <si>
    <t>[End Format Range]</t>
  </si>
  <si>
    <t>{EXCEPT(TM1SubsetToSet([Account].[Account] , "Default" , "public") , {[Account].[Account].[Statistics]})}</t>
  </si>
  <si>
    <t>organization</t>
  </si>
  <si>
    <t>Currency Calc</t>
  </si>
  <si>
    <t>Year</t>
  </si>
  <si>
    <t>Version</t>
  </si>
  <si>
    <t>Fcst Period</t>
  </si>
  <si>
    <t>Act/Fcst:</t>
  </si>
  <si>
    <t>Fcst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</si>
  <si>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</si>
  <si>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</si>
  <si>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</si>
  <si>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</si>
  <si>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</si>
  <si>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</si>
  <si>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</si>
  <si>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</si>
  <si>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</si>
  <si>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</si>
  <si>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</si>
  <si>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</si>
  <si>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5999 Cost of Sales</t>
  </si>
  <si>
    <t>Gross Margin</t>
  </si>
  <si>
    <t>6099 PAYROLL</t>
  </si>
  <si>
    <t>6199 OFFICE EXPENSE</t>
  </si>
  <si>
    <t>6299 TRAVEL</t>
  </si>
  <si>
    <t>6399 OCCUPANCY</t>
  </si>
  <si>
    <t>6499 MARKETING</t>
  </si>
  <si>
    <t>6599 DEPRECIATION</t>
  </si>
  <si>
    <t>Total Operating Expense</t>
  </si>
  <si>
    <t>Net Profit</t>
  </si>
  <si>
    <t>6699 ALLOCATIONS</t>
  </si>
  <si>
    <t>Net Profit After Allocations</t>
  </si>
  <si>
    <t>[Forecast PL multi server.xlsx]Rolling Fcst'!H16</t>
  </si>
  <si>
    <t/>
  </si>
  <si>
    <t xml:space="preserve">Note:  Actuals data resides on Smartco Server and Forecast data resides on 24Retail Server. </t>
  </si>
  <si>
    <t xml:space="preserve"> To acieve these retrieve dynamically as the versions change, use IF(E18="A",DBRW($C$2,$E$16,$D$16,$F$16,E$22,$C23,$G$16),DBRW($C$14,$E$16,$D$16,$F$16,E$22,$C23,$G$16))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</si>
</sst>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 @"/>
  </numFmts>
  <fonts count="15" x14ac:knownFonts="1">
    <font>
      <sz val="11"/>
      <color theme="1"/>
      <name val="Calibri"/>
      <family val="2"/>
      <scheme val="minor"/>
    </font>
    <font>
      <b/>
      <sz val="10.5"/>
      <color theme="1" tint="0.24994659260841701"/>
      <name val="Calibri"/>
      <family val="2"/>
    </font>
    <font>
      <b/>
      <sz val="10.5"/>
      <color rgb="FF165D8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 tint="0.24994659260841701"/>
      <name val="Calibri"/>
      <family val="2"/>
    </font>
    <font>
      <b/>
      <sz val="12"/>
      <color rgb="FF165D81"/>
      <name val="Calibri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6">
    <xf numFmtId="0" fontId="0" fillId="0" borderId="0"/>
    <xf numFmtId="3" fontId="1" fillId="0" borderId="0" applyNumberFormat="0" applyBorder="0" applyAlignment="0" applyProtection="0"/>
    <xf numFmtId="0" fontId="2" fillId="0" borderId="1" applyNumberFormat="0" applyFill="0" applyAlignment="0" applyProtection="0"/>
    <xf numFmtId="3" fontId="1" fillId="0" borderId="2" applyFont="0" applyFill="0" applyAlignment="0" applyProtection="0"/>
    <xf numFmtId="3" fontId="1" fillId="0" borderId="0" applyNumberFormat="0" applyBorder="0" applyAlignment="0" applyProtection="0"/>
    <xf numFmtId="3" fontId="2" fillId="0" borderId="1" applyNumberFormat="0" applyFill="0" applyAlignment="0" applyProtection="0"/>
    <xf numFmtId="3" fontId="1" fillId="0" borderId="2" applyFont="0" applyFill="0" applyAlignment="0" applyProtection="0"/>
    <xf numFmtId="3" fontId="1" fillId="0" borderId="0" applyNumberFormat="0" applyBorder="0" applyAlignment="0" applyProtection="0"/>
    <xf numFmtId="0" fontId="2" fillId="0" borderId="1" applyNumberFormat="0" applyFill="0" applyAlignment="0" applyProtection="0"/>
    <xf numFmtId="3" fontId="1" fillId="0" borderId="2" applyFont="0" applyFill="0" applyAlignment="0" applyProtection="0"/>
    <xf numFmtId="3" fontId="1" fillId="0" borderId="0" applyNumberFormat="0" applyBorder="0" applyAlignment="0" applyProtection="0"/>
    <xf numFmtId="0" fontId="2" fillId="0" borderId="1" applyNumberFormat="0" applyFill="0" applyAlignment="0" applyProtection="0"/>
    <xf numFmtId="3" fontId="1" fillId="0" borderId="2" applyFont="0" applyFill="0" applyAlignment="0" applyProtection="0"/>
    <xf numFmtId="3" fontId="1" fillId="0" borderId="2" applyNumberFormat="0" applyBorder="0" applyAlignment="0" applyProtection="0"/>
    <xf numFmtId="0" fontId="2" fillId="0" borderId="1" applyNumberFormat="0" applyFill="0" applyAlignment="0" applyProtection="0"/>
    <xf numFmtId="3" fontId="1" fillId="0" borderId="2" applyFont="0" applyFill="0" applyAlignment="0" applyProtection="0"/>
    <xf numFmtId="3" fontId="1" fillId="0" borderId="2" applyNumberFormat="0" applyBorder="0" applyAlignment="0" applyProtection="0"/>
    <xf numFmtId="0" fontId="2" fillId="0" borderId="1" applyNumberFormat="0" applyFill="0" applyAlignment="0" applyProtection="0"/>
    <xf numFmtId="3" fontId="1" fillId="0" borderId="2" applyFont="0" applyFill="0" applyAlignment="0" applyProtection="0"/>
    <xf numFmtId="3" fontId="1" fillId="0" borderId="0" applyNumberFormat="0" applyBorder="0" applyAlignment="0" applyProtection="0"/>
    <xf numFmtId="3" fontId="2" fillId="0" borderId="1" applyNumberFormat="0" applyFill="0" applyAlignment="0" applyProtection="0"/>
    <xf numFmtId="3" fontId="1" fillId="0" borderId="2" applyFont="0" applyFill="0" applyAlignment="0" applyProtection="0"/>
    <xf numFmtId="3" fontId="1" fillId="0" borderId="2" applyNumberFormat="0" applyBorder="0" applyAlignment="0" applyProtection="0"/>
    <xf numFmtId="0" fontId="2" fillId="0" borderId="1" applyNumberFormat="0" applyFill="0" applyAlignment="0" applyProtection="0"/>
    <xf numFmtId="3" fontId="1" fillId="0" borderId="2" applyFont="0" applyFill="0" applyAlignment="0" applyProtection="0"/>
    <xf numFmtId="0" fontId="1" fillId="0" borderId="2" applyNumberFormat="0" applyFill="0" applyAlignment="0" applyProtection="0"/>
    <xf numFmtId="0" fontId="1" fillId="0" borderId="2" applyNumberFormat="0" applyFill="0" applyAlignment="0" applyProtection="0"/>
    <xf numFmtId="0" fontId="2" fillId="0" borderId="1" applyNumberFormat="0" applyFill="0" applyProtection="0">
      <alignment horizontal="center" vertical="center"/>
    </xf>
    <xf numFmtId="0" fontId="1" fillId="0" borderId="2">
      <alignment horizontal="right" vertical="center"/>
    </xf>
    <xf numFmtId="3" fontId="1" fillId="4" borderId="2">
      <alignment horizontal="center" vertical="center"/>
    </xf>
    <xf numFmtId="0" fontId="1" fillId="4" borderId="2">
      <alignment horizontal="right" vertical="center"/>
    </xf>
    <xf numFmtId="0" fontId="2" fillId="0" borderId="7">
      <alignment horizontal="left" vertical="center"/>
    </xf>
    <xf numFmtId="0" fontId="2" fillId="0" borderId="8">
      <alignment horizontal="center" vertical="center"/>
    </xf>
    <xf numFmtId="0" fontId="3" fillId="0" borderId="5">
      <alignment horizontal="center" vertical="center"/>
    </xf>
    <xf numFmtId="0" fontId="1" fillId="5" borderId="2"/>
    <xf numFmtId="3" fontId="4" fillId="0" borderId="2"/>
    <xf numFmtId="3" fontId="5" fillId="0" borderId="2"/>
    <xf numFmtId="0" fontId="2" fillId="0" borderId="8">
      <alignment horizontal="left" vertical="top"/>
    </xf>
    <xf numFmtId="0" fontId="6" fillId="0" borderId="2"/>
    <xf numFmtId="0" fontId="2" fillId="0" borderId="8">
      <alignment horizontal="left" vertical="center"/>
    </xf>
    <xf numFmtId="0" fontId="1" fillId="4" borderId="9"/>
    <xf numFmtId="3" fontId="1" fillId="0" borderId="2">
      <alignment horizontal="right" vertical="center"/>
    </xf>
    <xf numFmtId="0" fontId="2" fillId="0" borderId="8">
      <alignment horizontal="right" vertical="center"/>
    </xf>
    <xf numFmtId="0" fontId="1" fillId="0" borderId="5">
      <alignment horizontal="center" vertical="center"/>
    </xf>
    <xf numFmtId="3" fontId="1" fillId="0" borderId="2"/>
    <xf numFmtId="3" fontId="1" fillId="0" borderId="2"/>
    <xf numFmtId="0" fontId="1" fillId="0" borderId="5">
      <alignment horizontal="center" vertical="center" wrapText="1"/>
    </xf>
    <xf numFmtId="0" fontId="7" fillId="0" borderId="5">
      <alignment horizontal="left" vertical="center" indent="1"/>
    </xf>
    <xf numFmtId="0" fontId="8" fillId="0" borderId="2"/>
    <xf numFmtId="0" fontId="2" fillId="0" borderId="7">
      <alignment horizontal="left" vertical="center"/>
    </xf>
    <xf numFmtId="3" fontId="1" fillId="0" borderId="2">
      <alignment horizontal="center" vertical="center"/>
    </xf>
    <xf numFmtId="0" fontId="2" fillId="0" borderId="8">
      <alignment horizontal="center" vertical="center"/>
    </xf>
    <xf numFmtId="0" fontId="2" fillId="0" borderId="8">
      <alignment horizontal="center" vertical="center"/>
    </xf>
    <xf numFmtId="0" fontId="2" fillId="0" borderId="7">
      <alignment horizontal="left" vertical="center"/>
    </xf>
    <xf numFmtId="0" fontId="2" fillId="0" borderId="7">
      <alignment horizontal="left" vertical="center"/>
    </xf>
    <xf numFmtId="0" fontId="9" fillId="0" borderId="2"/>
  </cellStyleXfs>
  <cellXfs count="50">
    <xf numFmtId="0" fontId="0" fillId="0" borderId="0" xfId="0"/>
    <xf numFmtId="0" fontId="0" fillId="0" borderId="0" xfId="0" quotePrefix="1"/>
    <xf numFmtId="0" fontId="10" fillId="0" borderId="0" xfId="0" applyFont="1"/>
    <xf numFmtId="0" fontId="11" fillId="0" borderId="0" xfId="0" applyFont="1"/>
    <xf numFmtId="0" fontId="10" fillId="0" borderId="0" xfId="0" quotePrefix="1" applyFont="1"/>
    <xf numFmtId="0" fontId="12" fillId="0" borderId="0" xfId="1" applyNumberFormat="1" applyFont="1"/>
    <xf numFmtId="0" fontId="13" fillId="0" borderId="1" xfId="2" applyNumberFormat="1" applyFont="1"/>
    <xf numFmtId="3" fontId="12" fillId="0" borderId="2" xfId="3" applyFont="1"/>
    <xf numFmtId="3" fontId="12" fillId="2" borderId="2" xfId="3" applyFont="1" applyFill="1"/>
    <xf numFmtId="0" fontId="12" fillId="0" borderId="0" xfId="4" applyNumberFormat="1" applyFont="1"/>
    <xf numFmtId="0" fontId="13" fillId="0" borderId="1" xfId="5" applyNumberFormat="1" applyFont="1"/>
    <xf numFmtId="3" fontId="12" fillId="0" borderId="2" xfId="6" applyFont="1"/>
    <xf numFmtId="3" fontId="12" fillId="2" borderId="2" xfId="6" applyFont="1" applyFill="1"/>
    <xf numFmtId="0" fontId="12" fillId="0" borderId="0" xfId="7" applyNumberFormat="1" applyFont="1"/>
    <xf numFmtId="0" fontId="13" fillId="0" borderId="1" xfId="8" applyNumberFormat="1" applyFont="1"/>
    <xf numFmtId="3" fontId="12" fillId="0" borderId="2" xfId="9" applyFont="1"/>
    <xf numFmtId="3" fontId="12" fillId="2" borderId="2" xfId="9" applyFont="1" applyFill="1"/>
    <xf numFmtId="0" fontId="12" fillId="0" borderId="0" xfId="10" applyNumberFormat="1" applyFont="1"/>
    <xf numFmtId="0" fontId="13" fillId="0" borderId="1" xfId="11" applyNumberFormat="1" applyFont="1"/>
    <xf numFmtId="3" fontId="12" fillId="0" borderId="2" xfId="12" applyFont="1"/>
    <xf numFmtId="3" fontId="12" fillId="2" borderId="2" xfId="12" applyFont="1" applyFill="1"/>
    <xf numFmtId="0" fontId="12" fillId="0" borderId="0" xfId="13" applyNumberFormat="1" applyFont="1" applyBorder="1"/>
    <xf numFmtId="0" fontId="13" fillId="0" borderId="1" xfId="14" applyNumberFormat="1" applyFont="1"/>
    <xf numFmtId="3" fontId="12" fillId="0" borderId="2" xfId="15" applyFont="1"/>
    <xf numFmtId="3" fontId="12" fillId="2" borderId="2" xfId="15" applyFont="1" applyFill="1"/>
    <xf numFmtId="0" fontId="12" fillId="0" borderId="0" xfId="16" applyNumberFormat="1" applyFont="1" applyBorder="1"/>
    <xf numFmtId="0" fontId="13" fillId="0" borderId="1" xfId="17" applyNumberFormat="1" applyFont="1"/>
    <xf numFmtId="3" fontId="12" fillId="0" borderId="2" xfId="18" applyFont="1"/>
    <xf numFmtId="3" fontId="12" fillId="2" borderId="2" xfId="18" applyFont="1" applyFill="1"/>
    <xf numFmtId="0" fontId="12" fillId="0" borderId="0" xfId="19" quotePrefix="1" applyNumberFormat="1" applyFont="1"/>
    <xf numFmtId="0" fontId="13" fillId="0" borderId="1" xfId="20" applyNumberFormat="1" applyFont="1"/>
    <xf numFmtId="3" fontId="12" fillId="0" borderId="2" xfId="21" applyFont="1"/>
    <xf numFmtId="3" fontId="12" fillId="2" borderId="2" xfId="21" applyFont="1" applyFill="1"/>
    <xf numFmtId="0" fontId="12" fillId="0" borderId="0" xfId="19" applyNumberFormat="1" applyFont="1"/>
    <xf numFmtId="0" fontId="12" fillId="0" borderId="0" xfId="22" quotePrefix="1" applyNumberFormat="1" applyFont="1" applyBorder="1"/>
    <xf numFmtId="0" fontId="13" fillId="0" borderId="1" xfId="23" applyNumberFormat="1" applyFont="1"/>
    <xf numFmtId="3" fontId="12" fillId="0" borderId="2" xfId="24" applyFont="1"/>
    <xf numFmtId="3" fontId="12" fillId="2" borderId="2" xfId="24" applyFont="1" applyFill="1"/>
    <xf numFmtId="0" fontId="12" fillId="0" borderId="0" xfId="22" applyNumberFormat="1" applyFont="1" applyBorder="1"/>
    <xf numFmtId="0" fontId="12" fillId="3" borderId="2" xfId="25" quotePrefix="1" applyFont="1" applyFill="1" applyAlignment="1">
      <alignment horizontal="center"/>
    </xf>
    <xf numFmtId="0" fontId="12" fillId="0" borderId="3" xfId="25" quotePrefix="1" applyFont="1" applyBorder="1"/>
    <xf numFmtId="0" fontId="12" fillId="0" borderId="4" xfId="26" applyFont="1" applyBorder="1" applyAlignment="1">
      <alignment horizontal="center"/>
    </xf>
    <xf numFmtId="0" fontId="12" fillId="0" borderId="4" xfId="26" applyNumberFormat="1" applyFont="1" applyBorder="1" applyAlignment="1">
      <alignment horizontal="center"/>
    </xf>
    <xf numFmtId="0" fontId="12" fillId="0" borderId="0" xfId="25" quotePrefix="1" applyFont="1" applyBorder="1"/>
    <xf numFmtId="0" fontId="12" fillId="0" borderId="5" xfId="26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3" fillId="0" borderId="6" xfId="27" quotePrefix="1" applyFont="1" applyBorder="1">
      <alignment horizontal="center" vertical="center"/>
    </xf>
    <xf numFmtId="0" fontId="13" fillId="0" borderId="1" xfId="27" quotePrefix="1" applyFont="1">
      <alignment horizontal="center" vertical="center"/>
    </xf>
    <xf numFmtId="49" fontId="13" fillId="0" borderId="1" xfId="23" applyNumberFormat="1" applyFont="1" applyAlignment="1"/>
    <xf numFmtId="164" fontId="13" fillId="0" borderId="1" xfId="2" applyNumberFormat="1" applyFont="1" applyAlignment="1"/>
  </cellXfs>
  <cellStyles count="56">
    <cellStyle name="AF Column - IBM Cognos" xfId="27" xr:uid="{13E67A81-5443-4BCD-BF53-EE4774DA5971}"/>
    <cellStyle name="AF Data - IBM Cognos" xfId="21" xr:uid="{2DF1E460-9979-4895-872C-9ACE3553BFD8}"/>
    <cellStyle name="AF Data 0 - IBM Cognos" xfId="3" xr:uid="{1E2AF36E-94FA-438E-96D4-AEF7F612908F}"/>
    <cellStyle name="AF Data 1 - IBM Cognos" xfId="6" xr:uid="{0065615E-23D6-4B1B-A4E5-62E4D2CEBB20}"/>
    <cellStyle name="AF Data 2 - IBM Cognos" xfId="9" xr:uid="{437039F2-2516-48DF-9824-C4AB9D1C6638}"/>
    <cellStyle name="AF Data 3 - IBM Cognos" xfId="12" xr:uid="{E186ADA0-3F23-4034-813B-46E7FFBC0B90}"/>
    <cellStyle name="AF Data 4 - IBM Cognos" xfId="15" xr:uid="{4B767133-0A10-411A-B2F9-57F7D689FA40}"/>
    <cellStyle name="AF Data 5 - IBM Cognos" xfId="18" xr:uid="{C466699C-8A9A-4C49-A778-9C24F1C7BB0E}"/>
    <cellStyle name="AF Data Leaf - IBM Cognos" xfId="24" xr:uid="{D533898B-48F9-4C11-A6D3-70EFE58A83D6}"/>
    <cellStyle name="AF Header - IBM Cognos" xfId="20" xr:uid="{F2B0CB5B-91A0-475E-9219-5A21467233C4}"/>
    <cellStyle name="AF Header 0 - IBM Cognos" xfId="2" xr:uid="{9D1D90AB-F097-4ECE-9185-13CE14864454}"/>
    <cellStyle name="AF Header 1 - IBM Cognos" xfId="5" xr:uid="{FFC62A26-286E-421B-8AF0-FC86FE3FEA97}"/>
    <cellStyle name="AF Header 2 - IBM Cognos" xfId="8" xr:uid="{30158BA1-2BC5-4A6B-96B8-FD4A7DDA91DB}"/>
    <cellStyle name="AF Header 3 - IBM Cognos" xfId="11" xr:uid="{8F751F0B-3112-48AF-86E2-5B51FA04B64E}"/>
    <cellStyle name="AF Header 4 - IBM Cognos" xfId="14" xr:uid="{919D58E4-6017-4773-94F5-1F451B9BD772}"/>
    <cellStyle name="AF Header 5 - IBM Cognos" xfId="17" xr:uid="{C00C206E-E200-4D61-AB5E-5314207CC32C}"/>
    <cellStyle name="AF Header Leaf - IBM Cognos" xfId="23" xr:uid="{0275CE97-7441-4627-81A5-2E09BB8E9596}"/>
    <cellStyle name="AF Row - IBM Cognos" xfId="19" xr:uid="{71883B59-5746-4106-8E97-062CBEF45773}"/>
    <cellStyle name="AF Row 0 - IBM Cognos" xfId="1" xr:uid="{F9AD19D0-95FA-4F4E-8D17-003A3451629B}"/>
    <cellStyle name="AF Row 1 - IBM Cognos" xfId="4" xr:uid="{33541F0B-7531-4464-A9D2-AE977DA11933}"/>
    <cellStyle name="AF Row 2 - IBM Cognos" xfId="7" xr:uid="{DE979EB5-6BB4-453C-AEFD-FA61183CD4C0}"/>
    <cellStyle name="AF Row 3 - IBM Cognos" xfId="10" xr:uid="{E3025880-2BAD-4889-A5FD-7615ACA6BAF5}"/>
    <cellStyle name="AF Row 4 - IBM Cognos" xfId="13" xr:uid="{3EAA1455-3EBF-4F31-BBC3-3915141F4DB1}"/>
    <cellStyle name="AF Row 5 - IBM Cognos" xfId="16" xr:uid="{00E10DBF-A3BF-477C-8F75-A7500B97172A}"/>
    <cellStyle name="AF Row Leaf - IBM Cognos" xfId="22" xr:uid="{55E07965-D033-4E07-93AB-C09416E58238}"/>
    <cellStyle name="AF Subnm - IBM Cognos" xfId="26" xr:uid="{E636E6A9-3B09-498C-B619-55EDAEC9D105}"/>
    <cellStyle name="AF Title - IBM Cognos" xfId="25" xr:uid="{A04B4E45-2390-4B81-85A3-61CFFDA9CF50}"/>
    <cellStyle name="Calculated Column - IBM Cognos" xfId="28" xr:uid="{581A2EAC-8E73-495A-A96D-F9A38C0B2529}"/>
    <cellStyle name="Calculated Column Name - IBM Cognos" xfId="29" xr:uid="{3B7B7C84-6688-4BB1-B864-B6BA47CE532B}"/>
    <cellStyle name="Calculated Row - IBM Cognos" xfId="30" xr:uid="{BC36DB79-CD45-4F0B-89AA-486EAC9E27AE}"/>
    <cellStyle name="Calculated Row Name - IBM Cognos" xfId="31" xr:uid="{A43033C1-BB35-4EBA-A655-162E70CFE00D}"/>
    <cellStyle name="Column Name - IBM Cognos" xfId="32" xr:uid="{67A111B3-5036-4E3F-ACAD-673795957AD3}"/>
    <cellStyle name="Column Template - IBM Cognos" xfId="33" xr:uid="{F0895A0F-D143-46C9-9FDD-B5767613515B}"/>
    <cellStyle name="Differs From Base - IBM Cognos" xfId="34" xr:uid="{B70F4D2E-4804-4DE7-8C51-D8C026653C34}"/>
    <cellStyle name="Edit - IBM Cognos" xfId="35" xr:uid="{D9C6F6F8-5568-4FFF-BF7B-3FA3E1F3B01D}"/>
    <cellStyle name="Formula - IBM Cognos" xfId="36" xr:uid="{1914A704-FBF5-45A1-BF7A-3E4131352E08}"/>
    <cellStyle name="Group Name - IBM Cognos" xfId="37" xr:uid="{6C0A6B5A-82B3-4F8E-9964-0E08BCEC92AA}"/>
    <cellStyle name="Hold Values - IBM Cognos" xfId="38" xr:uid="{4B9A3D91-9D1D-4068-872D-0E4D143CEDFA}"/>
    <cellStyle name="List Name - IBM Cognos" xfId="39" xr:uid="{0639E48B-32CE-48E4-B6F8-FC3F29110570}"/>
    <cellStyle name="Locked - IBM Cognos" xfId="40" xr:uid="{CC71C266-7AD3-48CA-88BB-2B749BCCAFBF}"/>
    <cellStyle name="Measure - IBM Cognos" xfId="41" xr:uid="{67646216-0250-424A-BB84-F79DB20AA859}"/>
    <cellStyle name="Measure Header - IBM Cognos" xfId="42" xr:uid="{1DBABCC7-809C-4B21-AC15-DFAB7BEDB4F0}"/>
    <cellStyle name="Measure Name - IBM Cognos" xfId="43" xr:uid="{B4B8685E-024A-4FCA-AC44-61A44649E147}"/>
    <cellStyle name="Measure Summary - IBM Cognos" xfId="44" xr:uid="{B98FD4E0-A78F-4F38-8B67-BC127CF077D7}"/>
    <cellStyle name="Measure Summary TM1 - IBM Cognos" xfId="45" xr:uid="{C7F03DEF-7A75-45C0-A2EB-31829F6DC01C}"/>
    <cellStyle name="Measure Template - IBM Cognos" xfId="46" xr:uid="{E488824C-3771-4928-8AE4-F231E95C1375}"/>
    <cellStyle name="More - IBM Cognos" xfId="47" xr:uid="{E5812761-9C78-4898-9D78-BF190116F292}"/>
    <cellStyle name="Normal" xfId="0" builtinId="0" customBuiltin="1"/>
    <cellStyle name="Pending Change - IBM Cognos" xfId="48" xr:uid="{47AD16AB-5E5E-4A06-80A9-13E82BA71135}"/>
    <cellStyle name="Row Name - IBM Cognos" xfId="49" xr:uid="{C78F62FB-332E-4104-BF0B-ADB4A2A67907}"/>
    <cellStyle name="Row Template - IBM Cognos" xfId="50" xr:uid="{FC6CBDCA-EF86-4BD6-AB90-100D80D1A012}"/>
    <cellStyle name="Summary Column Name - IBM Cognos" xfId="51" xr:uid="{A205FB5E-95C4-4AA9-ABBA-73F84BBD99CA}"/>
    <cellStyle name="Summary Column Name TM1 - IBM Cognos" xfId="52" xr:uid="{22A63ABF-CBAD-46AF-AE87-969B8FF11F62}"/>
    <cellStyle name="Summary Row Name - IBM Cognos" xfId="53" xr:uid="{9F0D40B7-15E4-4D0F-87ED-1B1878775CC9}"/>
    <cellStyle name="Summary Row Name TM1 - IBM Cognos" xfId="54" xr:uid="{6C869E17-0111-4666-92EF-38A1F7F1CBE8}"/>
    <cellStyle name="Unsaved Change - IBM Cognos" xfId="55" xr:uid="{584180B1-DD0E-4B6C-B64B-1E88F97F67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1/P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tVar"/>
      <sheetName val="PL"/>
      <sheetName val="AllocDefintion"/>
      <sheetName val="AllocDetail"/>
      <sheetName val="AllocSummary"/>
      <sheetName val="PLReport"/>
      <sheetName val="Fcst"/>
      <sheetName val="FcstDetail"/>
      <sheetName val="FxVar"/>
      <sheetName val="FxRates"/>
      <sheetName val="{PL}PickLst"/>
      <sheetName val="Lookup"/>
      <sheetName val="AllocationIn"/>
      <sheetName val="{AR}01"/>
    </sheetNames>
    <sheetDataSet>
      <sheetData sheetId="0">
        <row r="13">
          <cell r="C13" t="str">
            <v>Massachusetts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9">
          <cell r="E9" t="str">
            <v>Jan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849C-11CB-44B1-B3E8-1A3657B89E80}">
  <dimension ref="B1:B14"/>
  <sheetViews>
    <sheetView workbookViewId="0"/>
  </sheetViews>
  <sheetFormatPr defaultRowHeight="15" x14ac:dyDescent="0.25"/>
  <sheetData>
    <row r="1" spans="2:2" x14ac:dyDescent="0.25">
      <c r="B1" s="1" t="s">
        <v>37</v>
      </c>
    </row>
    <row r="2" spans="2:2" x14ac:dyDescent="0.25">
      <c r="B2" s="1" t="s">
        <v>38</v>
      </c>
    </row>
    <row r="3" spans="2:2" x14ac:dyDescent="0.25">
      <c r="B3" s="1" t="s">
        <v>13</v>
      </c>
    </row>
    <row r="4" spans="2:2" x14ac:dyDescent="0.25">
      <c r="B4" s="1" t="s">
        <v>14</v>
      </c>
    </row>
    <row r="5" spans="2:2" x14ac:dyDescent="0.25">
      <c r="B5" s="1" t="s">
        <v>15</v>
      </c>
    </row>
    <row r="6" spans="2:2" x14ac:dyDescent="0.25">
      <c r="B6" s="1" t="s">
        <v>16</v>
      </c>
    </row>
    <row r="7" spans="2:2" x14ac:dyDescent="0.25">
      <c r="B7" s="1" t="s">
        <v>17</v>
      </c>
    </row>
    <row r="8" spans="2:2" x14ac:dyDescent="0.25">
      <c r="B8" s="1" t="s">
        <v>18</v>
      </c>
    </row>
    <row r="9" spans="2:2" x14ac:dyDescent="0.25">
      <c r="B9" s="1" t="s">
        <v>19</v>
      </c>
    </row>
    <row r="10" spans="2:2" x14ac:dyDescent="0.25">
      <c r="B10" s="1" t="s">
        <v>20</v>
      </c>
    </row>
    <row r="11" spans="2:2" x14ac:dyDescent="0.25">
      <c r="B11" s="1" t="s">
        <v>21</v>
      </c>
    </row>
    <row r="12" spans="2:2" x14ac:dyDescent="0.25">
      <c r="B12" s="1" t="s">
        <v>22</v>
      </c>
    </row>
    <row r="13" spans="2:2" x14ac:dyDescent="0.25">
      <c r="B13" s="1" t="s">
        <v>23</v>
      </c>
    </row>
    <row r="14" spans="2:2" x14ac:dyDescent="0.25">
      <c r="B14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7778-2104-441A-91E0-EF0CE5B41506}">
  <dimension ref="B2:Q39"/>
  <sheetViews>
    <sheetView showGridLines="0" showRowColHeaders="0" tabSelected="1" workbookViewId="0"/>
  </sheetViews>
  <sheetFormatPr defaultRowHeight="15.75" x14ac:dyDescent="0.25"/>
  <cols>
    <col min="1" max="1" width="2.7109375" style="2" customWidth="1"/>
    <col min="2" max="2" width="25.7109375" style="2" hidden="1" customWidth="1"/>
    <col min="3" max="4" width="25.7109375" style="2" customWidth="1"/>
    <col min="5" max="5" width="15.140625" style="2" customWidth="1"/>
    <col min="6" max="17" width="12.140625" style="2" customWidth="1"/>
    <col min="18" max="16384" width="9.140625" style="2"/>
  </cols>
  <sheetData>
    <row r="2" spans="2:17" hidden="1" x14ac:dyDescent="0.25">
      <c r="C2" s="3" t="str">
        <f>_xll.TM1RPTVIEW("smartco:Income Statement:3", $H$74, _xll.TM1RPTTITLE("smartco:Currency Calc",$D$79), _xll.TM1RPTTITLE("smartco:organization",$C$79), _xll.TM1RPTTITLE("smartco:Year",$E$79), _xll.TM1RPTTITLE("smartco:Version",$F$79),TM1RPTFMTRNG,TM1RPTFMTIDCOL)</f>
        <v>smartco:Income Statement:3</v>
      </c>
    </row>
    <row r="3" spans="2:17" hidden="1" x14ac:dyDescent="0.25">
      <c r="B3" s="4" t="s">
        <v>0</v>
      </c>
    </row>
    <row r="4" spans="2:17" s="5" customFormat="1" ht="16.5" hidden="1" thickBot="1" x14ac:dyDescent="0.3">
      <c r="B4" s="5">
        <v>0</v>
      </c>
      <c r="C4" s="6" t="s">
        <v>1</v>
      </c>
      <c r="D4" s="6"/>
      <c r="E4" s="7">
        <v>123.456789</v>
      </c>
      <c r="F4" s="7">
        <v>123.456789</v>
      </c>
      <c r="G4" s="7">
        <v>123.456789</v>
      </c>
      <c r="H4" s="7">
        <v>123.456789</v>
      </c>
      <c r="I4" s="7">
        <v>123.456789</v>
      </c>
      <c r="J4" s="7">
        <v>123.456789</v>
      </c>
      <c r="K4" s="7">
        <v>123.456789</v>
      </c>
      <c r="L4" s="7">
        <v>123.456789</v>
      </c>
      <c r="M4" s="7">
        <v>123.456789</v>
      </c>
      <c r="N4" s="7">
        <v>123.456789</v>
      </c>
      <c r="O4" s="7">
        <v>123.456789</v>
      </c>
      <c r="P4" s="7">
        <v>123.456789</v>
      </c>
      <c r="Q4" s="8">
        <v>123.456789</v>
      </c>
    </row>
    <row r="5" spans="2:17" s="9" customFormat="1" ht="16.5" hidden="1" thickBot="1" x14ac:dyDescent="0.3">
      <c r="B5" s="9">
        <v>1</v>
      </c>
      <c r="C5" s="10" t="s">
        <v>1</v>
      </c>
      <c r="D5" s="10"/>
      <c r="E5" s="11">
        <v>123.456789</v>
      </c>
      <c r="F5" s="11">
        <v>123.456789</v>
      </c>
      <c r="G5" s="11">
        <v>123.456789</v>
      </c>
      <c r="H5" s="11">
        <v>123.456789</v>
      </c>
      <c r="I5" s="11">
        <v>123.456789</v>
      </c>
      <c r="J5" s="11">
        <v>123.456789</v>
      </c>
      <c r="K5" s="11">
        <v>123.456789</v>
      </c>
      <c r="L5" s="11">
        <v>123.456789</v>
      </c>
      <c r="M5" s="11">
        <v>123.456789</v>
      </c>
      <c r="N5" s="11">
        <v>123.456789</v>
      </c>
      <c r="O5" s="11">
        <v>123.456789</v>
      </c>
      <c r="P5" s="11">
        <v>123.456789</v>
      </c>
      <c r="Q5" s="12">
        <v>123.456789</v>
      </c>
    </row>
    <row r="6" spans="2:17" s="13" customFormat="1" ht="16.5" hidden="1" thickBot="1" x14ac:dyDescent="0.3">
      <c r="B6" s="13">
        <v>2</v>
      </c>
      <c r="C6" s="14" t="s">
        <v>1</v>
      </c>
      <c r="D6" s="14"/>
      <c r="E6" s="15">
        <v>123.456789</v>
      </c>
      <c r="F6" s="15">
        <v>123.456789</v>
      </c>
      <c r="G6" s="15">
        <v>123.456789</v>
      </c>
      <c r="H6" s="15">
        <v>123.456789</v>
      </c>
      <c r="I6" s="15">
        <v>123.456789</v>
      </c>
      <c r="J6" s="15">
        <v>123.456789</v>
      </c>
      <c r="K6" s="15">
        <v>123.456789</v>
      </c>
      <c r="L6" s="15">
        <v>123.456789</v>
      </c>
      <c r="M6" s="15">
        <v>123.456789</v>
      </c>
      <c r="N6" s="15">
        <v>123.456789</v>
      </c>
      <c r="O6" s="15">
        <v>123.456789</v>
      </c>
      <c r="P6" s="15">
        <v>123.456789</v>
      </c>
      <c r="Q6" s="16">
        <v>123.456789</v>
      </c>
    </row>
    <row r="7" spans="2:17" s="17" customFormat="1" ht="16.5" hidden="1" thickBot="1" x14ac:dyDescent="0.3">
      <c r="B7" s="17">
        <v>3</v>
      </c>
      <c r="C7" s="18" t="s">
        <v>1</v>
      </c>
      <c r="D7" s="18"/>
      <c r="E7" s="19">
        <v>123.456789</v>
      </c>
      <c r="F7" s="19">
        <v>123.456789</v>
      </c>
      <c r="G7" s="19">
        <v>123.456789</v>
      </c>
      <c r="H7" s="19">
        <v>123.456789</v>
      </c>
      <c r="I7" s="19">
        <v>123.456789</v>
      </c>
      <c r="J7" s="19">
        <v>123.456789</v>
      </c>
      <c r="K7" s="19">
        <v>123.456789</v>
      </c>
      <c r="L7" s="19">
        <v>123.456789</v>
      </c>
      <c r="M7" s="19">
        <v>123.456789</v>
      </c>
      <c r="N7" s="19">
        <v>123.456789</v>
      </c>
      <c r="O7" s="19">
        <v>123.456789</v>
      </c>
      <c r="P7" s="19">
        <v>123.456789</v>
      </c>
      <c r="Q7" s="20">
        <v>123.456789</v>
      </c>
    </row>
    <row r="8" spans="2:17" s="21" customFormat="1" ht="16.5" hidden="1" thickBot="1" x14ac:dyDescent="0.3">
      <c r="B8" s="21">
        <v>4</v>
      </c>
      <c r="C8" s="22" t="s">
        <v>1</v>
      </c>
      <c r="D8" s="22"/>
      <c r="E8" s="23">
        <v>123.456789</v>
      </c>
      <c r="F8" s="23">
        <v>123.456789</v>
      </c>
      <c r="G8" s="23">
        <v>123.456789</v>
      </c>
      <c r="H8" s="23">
        <v>123.456789</v>
      </c>
      <c r="I8" s="23">
        <v>123.456789</v>
      </c>
      <c r="J8" s="23">
        <v>123.456789</v>
      </c>
      <c r="K8" s="23">
        <v>123.456789</v>
      </c>
      <c r="L8" s="23">
        <v>123.456789</v>
      </c>
      <c r="M8" s="23">
        <v>123.456789</v>
      </c>
      <c r="N8" s="23">
        <v>123.456789</v>
      </c>
      <c r="O8" s="23">
        <v>123.456789</v>
      </c>
      <c r="P8" s="23">
        <v>123.456789</v>
      </c>
      <c r="Q8" s="24">
        <v>123.456789</v>
      </c>
    </row>
    <row r="9" spans="2:17" s="25" customFormat="1" ht="16.5" hidden="1" thickBot="1" x14ac:dyDescent="0.3">
      <c r="B9" s="25">
        <v>5</v>
      </c>
      <c r="C9" s="26" t="s">
        <v>1</v>
      </c>
      <c r="D9" s="26"/>
      <c r="E9" s="27">
        <v>123.456789</v>
      </c>
      <c r="F9" s="27">
        <v>123.456789</v>
      </c>
      <c r="G9" s="27">
        <v>123.456789</v>
      </c>
      <c r="H9" s="27">
        <v>123.456789</v>
      </c>
      <c r="I9" s="27">
        <v>123.456789</v>
      </c>
      <c r="J9" s="27">
        <v>123.456789</v>
      </c>
      <c r="K9" s="27">
        <v>123.456789</v>
      </c>
      <c r="L9" s="27">
        <v>123.456789</v>
      </c>
      <c r="M9" s="27">
        <v>123.456789</v>
      </c>
      <c r="N9" s="27">
        <v>123.456789</v>
      </c>
      <c r="O9" s="27">
        <v>123.456789</v>
      </c>
      <c r="P9" s="27">
        <v>123.456789</v>
      </c>
      <c r="Q9" s="28">
        <v>123.456789</v>
      </c>
    </row>
    <row r="10" spans="2:17" s="33" customFormat="1" ht="16.5" hidden="1" thickBot="1" x14ac:dyDescent="0.3">
      <c r="B10" s="29" t="s">
        <v>2</v>
      </c>
      <c r="C10" s="30" t="s">
        <v>1</v>
      </c>
      <c r="D10" s="30"/>
      <c r="E10" s="31">
        <v>123.456789</v>
      </c>
      <c r="F10" s="31">
        <v>123.456789</v>
      </c>
      <c r="G10" s="31">
        <v>123.456789</v>
      </c>
      <c r="H10" s="31">
        <v>123.456789</v>
      </c>
      <c r="I10" s="31">
        <v>123.456789</v>
      </c>
      <c r="J10" s="31">
        <v>123.456789</v>
      </c>
      <c r="K10" s="31">
        <v>123.456789</v>
      </c>
      <c r="L10" s="31">
        <v>123.456789</v>
      </c>
      <c r="M10" s="31">
        <v>123.456789</v>
      </c>
      <c r="N10" s="31">
        <v>123.456789</v>
      </c>
      <c r="O10" s="31">
        <v>123.456789</v>
      </c>
      <c r="P10" s="31">
        <v>123.456789</v>
      </c>
      <c r="Q10" s="32">
        <v>123.456789</v>
      </c>
    </row>
    <row r="11" spans="2:17" s="38" customFormat="1" ht="16.5" hidden="1" thickBot="1" x14ac:dyDescent="0.3">
      <c r="B11" s="34" t="s">
        <v>3</v>
      </c>
      <c r="C11" s="35" t="s">
        <v>1</v>
      </c>
      <c r="D11" s="35"/>
      <c r="E11" s="36">
        <v>123.456789</v>
      </c>
      <c r="F11" s="36">
        <v>123.456789</v>
      </c>
      <c r="G11" s="36">
        <v>123.456789</v>
      </c>
      <c r="H11" s="36">
        <v>123.456789</v>
      </c>
      <c r="I11" s="36">
        <v>123.456789</v>
      </c>
      <c r="J11" s="36">
        <v>123.456789</v>
      </c>
      <c r="K11" s="36">
        <v>123.456789</v>
      </c>
      <c r="L11" s="36">
        <v>123.456789</v>
      </c>
      <c r="M11" s="36">
        <v>123.456789</v>
      </c>
      <c r="N11" s="36">
        <v>123.456789</v>
      </c>
      <c r="O11" s="36">
        <v>123.456789</v>
      </c>
      <c r="P11" s="36">
        <v>123.456789</v>
      </c>
      <c r="Q11" s="37">
        <v>123.456789</v>
      </c>
    </row>
    <row r="12" spans="2:17" hidden="1" x14ac:dyDescent="0.25">
      <c r="B12" s="4" t="s">
        <v>4</v>
      </c>
    </row>
    <row r="13" spans="2:17" hidden="1" x14ac:dyDescent="0.25">
      <c r="C13" s="4" t="s">
        <v>5</v>
      </c>
      <c r="D13" s="4"/>
    </row>
    <row r="14" spans="2:17" hidden="1" x14ac:dyDescent="0.25">
      <c r="C14" s="2" t="str">
        <f>_xll.TM1RPTVIEW("24Retail:Income Statement:14022269",0,_xll.TM1RPTTITLE("24Retail:organization",$D$16),_xll.TM1RPTTITLE("24Retail:Currency Calc",$E$16),_xll.TM1RPTTITLE("24Retail:Year",$F$16),_xll.TM1RPTTITLE("24Retail:Version",$G$16),TM1RPTFMTRNG14022269,TM1RPTFMTIDCOL14022269)</f>
        <v>24Retail:Income Statement:14022269</v>
      </c>
    </row>
    <row r="15" spans="2:17" x14ac:dyDescent="0.25">
      <c r="D15" s="39" t="s">
        <v>6</v>
      </c>
      <c r="E15" s="39" t="s">
        <v>7</v>
      </c>
      <c r="F15" s="39" t="s">
        <v>8</v>
      </c>
      <c r="G15" s="39" t="s">
        <v>9</v>
      </c>
      <c r="H15" s="39" t="s">
        <v>10</v>
      </c>
    </row>
    <row r="16" spans="2:17" x14ac:dyDescent="0.25">
      <c r="C16" s="40"/>
      <c r="D16" s="41" t="str">
        <f>_xll.SUBNM("24Retail:organization","Workflow","Massachusetts","Caption_Default")</f>
        <v>Massachusetts</v>
      </c>
      <c r="E16" s="41" t="str">
        <f>_xll.SUBNM("24Retail:Currency Calc","Default","Base")</f>
        <v>Base</v>
      </c>
      <c r="F16" s="41" t="str">
        <f>_xll.SUBNM("24Retail:Year","Default","2021","Caption_Default")</f>
        <v>2021</v>
      </c>
      <c r="G16" s="41" t="str">
        <f>_xll.SUBNM("24Retail:Version",,"Forecast","Caption_Default")</f>
        <v>Forecast</v>
      </c>
      <c r="H16" s="42" t="str">
        <f>_xll.DBRW("24Retail:calendar","Fcst Month","String")</f>
        <v>Mar</v>
      </c>
    </row>
    <row r="17" spans="2:17" x14ac:dyDescent="0.25">
      <c r="C17" s="43"/>
      <c r="D17" s="43"/>
    </row>
    <row r="18" spans="2:17" x14ac:dyDescent="0.25">
      <c r="C18" s="40"/>
      <c r="D18" s="44" t="s">
        <v>11</v>
      </c>
      <c r="E18" s="44" t="str">
        <f>E19</f>
        <v>A</v>
      </c>
      <c r="F18" s="44" t="str">
        <f t="shared" ref="F18:P18" si="0">F19</f>
        <v>A</v>
      </c>
      <c r="G18" s="44" t="str">
        <f t="shared" si="0"/>
        <v>F</v>
      </c>
      <c r="H18" s="44" t="str">
        <f t="shared" si="0"/>
        <v>F</v>
      </c>
      <c r="I18" s="44" t="str">
        <f t="shared" si="0"/>
        <v>F</v>
      </c>
      <c r="J18" s="44" t="str">
        <f t="shared" si="0"/>
        <v>F</v>
      </c>
      <c r="K18" s="44" t="str">
        <f t="shared" si="0"/>
        <v>F</v>
      </c>
      <c r="L18" s="44" t="str">
        <f t="shared" si="0"/>
        <v>F</v>
      </c>
      <c r="M18" s="44" t="str">
        <f t="shared" si="0"/>
        <v>F</v>
      </c>
      <c r="N18" s="44" t="str">
        <f t="shared" si="0"/>
        <v>F</v>
      </c>
      <c r="O18" s="44" t="str">
        <f t="shared" si="0"/>
        <v>F</v>
      </c>
      <c r="P18" s="44" t="str">
        <f t="shared" si="0"/>
        <v>F</v>
      </c>
    </row>
    <row r="19" spans="2:17" hidden="1" x14ac:dyDescent="0.25">
      <c r="C19" s="40"/>
      <c r="D19" s="45" t="s">
        <v>11</v>
      </c>
      <c r="E19" s="45" t="str">
        <f>_xll.DBRW("24Retail:Relative Time",$F$16,E$22,"ActFor")</f>
        <v>A</v>
      </c>
      <c r="F19" s="45" t="str">
        <f>_xll.DBRW("24Retail:Relative Time",$F$16,F$22,"ActFor")</f>
        <v>A</v>
      </c>
      <c r="G19" s="45" t="str">
        <f>_xll.DBRW("24Retail:Relative Time",$F$16,G$22,"ActFor")</f>
        <v>F</v>
      </c>
      <c r="H19" s="45" t="str">
        <f>_xll.DBRW("24Retail:Relative Time",$F$16,H$22,"ActFor")</f>
        <v>F</v>
      </c>
      <c r="I19" s="45" t="str">
        <f>_xll.DBRW("24Retail:Relative Time",$F$16,I$22,"ActFor")</f>
        <v>F</v>
      </c>
      <c r="J19" s="45" t="str">
        <f>_xll.DBRW("24Retail:Relative Time",$F$16,J$22,"ActFor")</f>
        <v>F</v>
      </c>
      <c r="K19" s="45" t="str">
        <f>_xll.DBRW("24Retail:Relative Time",$F$16,K$22,"ActFor")</f>
        <v>F</v>
      </c>
      <c r="L19" s="45" t="str">
        <f>_xll.DBRW("24Retail:Relative Time",$F$16,L$22,"ActFor")</f>
        <v>F</v>
      </c>
      <c r="M19" s="45" t="str">
        <f>_xll.DBRW("24Retail:Relative Time",$F$16,M$22,"ActFor")</f>
        <v>F</v>
      </c>
      <c r="N19" s="45" t="str">
        <f>_xll.DBRW("24Retail:Relative Time",$F$16,N$22,"ActFor")</f>
        <v>F</v>
      </c>
      <c r="O19" s="45" t="str">
        <f>_xll.DBRW("24Retail:Relative Time",$F$16,O$22,"ActFor")</f>
        <v>F</v>
      </c>
      <c r="P19" s="45" t="str">
        <f>_xll.DBRW("24Retail:Relative Time",$F$16,P$22,"ActFor")</f>
        <v>F</v>
      </c>
    </row>
    <row r="21" spans="2:17" ht="16.5" thickBot="1" x14ac:dyDescent="0.3"/>
    <row r="22" spans="2:17" ht="16.5" thickBot="1" x14ac:dyDescent="0.3">
      <c r="D22" s="46" t="s">
        <v>12</v>
      </c>
      <c r="E22" s="47" t="s">
        <v>13</v>
      </c>
      <c r="F22" s="47" t="s">
        <v>14</v>
      </c>
      <c r="G22" s="47" t="s">
        <v>15</v>
      </c>
      <c r="H22" s="47" t="s">
        <v>16</v>
      </c>
      <c r="I22" s="47" t="s">
        <v>17</v>
      </c>
      <c r="J22" s="47" t="s">
        <v>18</v>
      </c>
      <c r="K22" s="47" t="s">
        <v>19</v>
      </c>
      <c r="L22" s="47" t="s">
        <v>20</v>
      </c>
      <c r="M22" s="47" t="s">
        <v>21</v>
      </c>
      <c r="N22" s="47" t="s">
        <v>22</v>
      </c>
      <c r="O22" s="47" t="s">
        <v>23</v>
      </c>
      <c r="P22" s="47" t="s">
        <v>24</v>
      </c>
      <c r="Q22" s="47" t="s">
        <v>8</v>
      </c>
    </row>
    <row r="23" spans="2:17" s="38" customFormat="1" ht="16.5" thickBot="1" x14ac:dyDescent="0.3">
      <c r="B23" s="34" t="e">
        <f ca="1">IF(_xll.TM1RPTELISCONSOLIDATED($C$23,$C23),IF(_xll.TM1RPTELLEV($C$23,$C23)&lt;=5,_xll.TM1RPTELLEV($C$23,$C23),"Default"),"Leaf")</f>
        <v>#VALUE!</v>
      </c>
      <c r="C23" s="48" t="str">
        <f ca="1">_xll.TM1RPTROW($C$14,"24Retail:Account",,,"Caption_Default",FALSE,C$13)</f>
        <v>pending__Forecast PL multi server.xlsx:Rolling Fcst:TM1RPTDATARNG:14022269</v>
      </c>
      <c r="D23" s="35" t="e">
        <f ca="1">_xll.DBRW("24Retail:FcstMethod",$C23,"FcstMethod")</f>
        <v>#VALUE!</v>
      </c>
      <c r="E23" s="36" t="e">
        <f ca="1" xml:space="preserve"> IF(E18="A",_xll.DBRW($C$2,$E$16,$D$16,$F$16,E$22,$C23,$G$16),_xll.DBRW($C$14,$E$16,$D$16,$F$16,E$22,$C23,$G$16))</f>
        <v>#VALUE!</v>
      </c>
      <c r="F23" s="36" t="e">
        <f ca="1" xml:space="preserve"> IF(F18="A",_xll.DBRW($C$2,$E$16,$D$16,$F$16,F$22,$C23,$G$16),_xll.DBRW($C$14,$E$16,$D$16,$F$16,F$22,$C23,$G$16))</f>
        <v>#VALUE!</v>
      </c>
      <c r="G23" s="36" t="e">
        <f ca="1" xml:space="preserve"> IF(G18="A",_xll.DBRW($C$2,$E$16,$D$16,$F$16,G$22,$C23,$G$16),_xll.DBRW($C$14,$E$16,$D$16,$F$16,G$22,$C23,$G$16))</f>
        <v>#VALUE!</v>
      </c>
      <c r="H23" s="36" t="e">
        <f ca="1" xml:space="preserve"> IF(H18="A",_xll.DBRW($C$2,$E$16,$D$16,$F$16,H$22,$C23,$G$16),_xll.DBRW($C$14,$E$16,$D$16,$F$16,H$22,$C23,$G$16))</f>
        <v>#VALUE!</v>
      </c>
      <c r="I23" s="36" t="e">
        <f ca="1" xml:space="preserve"> IF(I18="A",_xll.DBRW($C$2,$E$16,$D$16,$F$16,I$22,$C23,$G$16),_xll.DBRW($C$14,$E$16,$D$16,$F$16,I$22,$C23,$G$16))</f>
        <v>#VALUE!</v>
      </c>
      <c r="J23" s="36" t="e">
        <f ca="1" xml:space="preserve"> IF(J18="A",_xll.DBRW($C$2,$E$16,$D$16,$F$16,J$22,$C23,$G$16),_xll.DBRW($C$14,$E$16,$D$16,$F$16,J$22,$C23,$G$16))</f>
        <v>#VALUE!</v>
      </c>
      <c r="K23" s="36" t="e">
        <f ca="1" xml:space="preserve"> IF(K18="A",_xll.DBRW($C$2,$E$16,$D$16,$F$16,K$22,$C23,$G$16),_xll.DBRW($C$14,$E$16,$D$16,$F$16,K$22,$C23,$G$16))</f>
        <v>#VALUE!</v>
      </c>
      <c r="L23" s="36" t="e">
        <f ca="1" xml:space="preserve"> IF(L18="A",_xll.DBRW($C$2,$E$16,$D$16,$F$16,L$22,$C23,$G$16),_xll.DBRW($C$14,$E$16,$D$16,$F$16,L$22,$C23,$G$16))</f>
        <v>#VALUE!</v>
      </c>
      <c r="M23" s="36" t="e">
        <f ca="1" xml:space="preserve"> IF(M18="A",_xll.DBRW($C$2,$E$16,$D$16,$F$16,M$22,$C23,$G$16),_xll.DBRW($C$14,$E$16,$D$16,$F$16,M$22,$C23,$G$16))</f>
        <v>#VALUE!</v>
      </c>
      <c r="N23" s="36" t="e">
        <f ca="1" xml:space="preserve"> IF(N18="A",_xll.DBRW($C$2,$E$16,$D$16,$F$16,N$22,$C23,$G$16),_xll.DBRW($C$14,$E$16,$D$16,$F$16,N$22,$C23,$G$16))</f>
        <v>#VALUE!</v>
      </c>
      <c r="O23" s="36" t="e">
        <f ca="1" xml:space="preserve"> IF(O18="A",_xll.DBRW($C$2,$E$16,$D$16,$F$16,O$22,$C23,$G$16),_xll.DBRW($C$14,$E$16,$D$16,$F$16,O$22,$C23,$G$16))</f>
        <v>#VALUE!</v>
      </c>
      <c r="P23" s="36" t="e">
        <f ca="1" xml:space="preserve"> IF(P18="A",_xll.DBRW($C$2,$E$16,$D$16,$F$16,P$22,$C23,$G$16),_xll.DBRW($C$14,$E$16,$D$16,$F$16,P$22,$C23,$G$16))</f>
        <v>#VALUE!</v>
      </c>
      <c r="Q23" s="37" t="e">
        <f ca="1" xml:space="preserve"> IF(Q18="A",_xll.DBRW($C$2,$E$16,$D$16,$F$16,Q$22,$C23,$G$16),_xll.DBRW($C$14,$E$16,$D$16,$F$16,Q$22,$C23,$G$16))</f>
        <v>#VALUE!</v>
      </c>
    </row>
    <row r="24" spans="2:17" s="38" customFormat="1" ht="16.5" thickBot="1" x14ac:dyDescent="0.3">
      <c r="B24" s="34" t="e">
        <f ca="1">IF(_xll.TM1RPTELISCONSOLIDATED($C$23,$C24),IF(_xll.TM1RPTELLEV($C$23,$C24)&lt;=5,_xll.TM1RPTELLEV($C$23,$C24),"Default"),"Leaf")</f>
        <v>#VALUE!</v>
      </c>
      <c r="C24" s="48" t="s">
        <v>25</v>
      </c>
      <c r="D24" s="35" t="str">
        <f>_xll.DBRW("24Retail:FcstMethod",$C24,"FcstMethod")</f>
        <v>Last Year Actual</v>
      </c>
      <c r="E24" s="36" t="e">
        <f xml:space="preserve"> IF(E19="A",_xll.DBRW($C$2,$E$16,$D$16,$F$16,E$22,$C24,$G$16),_xll.DBRW($C$14,$E$16,$D$16,$F$16,E$22,$C24,$G$16))</f>
        <v>#VALUE!</v>
      </c>
      <c r="F24" s="36" t="e">
        <f xml:space="preserve"> IF(F19="A",_xll.DBRW($C$2,$E$16,$D$16,$F$16,F$22,$C24,$G$16),_xll.DBRW($C$14,$E$16,$D$16,$F$16,F$22,$C24,$G$16))</f>
        <v>#VALUE!</v>
      </c>
      <c r="G24" s="36" t="e">
        <f xml:space="preserve"> IF(G19="A",_xll.DBRW($C$2,$E$16,$D$16,$F$16,G$22,$C24,$G$16),_xll.DBRW($C$14,$E$16,$D$16,$F$16,G$22,$C24,$G$16))</f>
        <v>#VALUE!</v>
      </c>
      <c r="H24" s="36" t="e">
        <f xml:space="preserve"> IF(H19="A",_xll.DBRW($C$2,$E$16,$D$16,$F$16,H$22,$C24,$G$16),_xll.DBRW($C$14,$E$16,$D$16,$F$16,H$22,$C24,$G$16))</f>
        <v>#VALUE!</v>
      </c>
      <c r="I24" s="36" t="e">
        <f xml:space="preserve"> IF(I19="A",_xll.DBRW($C$2,$E$16,$D$16,$F$16,I$22,$C24,$G$16),_xll.DBRW($C$14,$E$16,$D$16,$F$16,I$22,$C24,$G$16))</f>
        <v>#VALUE!</v>
      </c>
      <c r="J24" s="36" t="e">
        <f xml:space="preserve"> IF(J19="A",_xll.DBRW($C$2,$E$16,$D$16,$F$16,J$22,$C24,$G$16),_xll.DBRW($C$14,$E$16,$D$16,$F$16,J$22,$C24,$G$16))</f>
        <v>#VALUE!</v>
      </c>
      <c r="K24" s="36" t="e">
        <f xml:space="preserve"> IF(K19="A",_xll.DBRW($C$2,$E$16,$D$16,$F$16,K$22,$C24,$G$16),_xll.DBRW($C$14,$E$16,$D$16,$F$16,K$22,$C24,$G$16))</f>
        <v>#VALUE!</v>
      </c>
      <c r="L24" s="36" t="e">
        <f xml:space="preserve"> IF(L19="A",_xll.DBRW($C$2,$E$16,$D$16,$F$16,L$22,$C24,$G$16),_xll.DBRW($C$14,$E$16,$D$16,$F$16,L$22,$C24,$G$16))</f>
        <v>#VALUE!</v>
      </c>
      <c r="M24" s="36" t="e">
        <f xml:space="preserve"> IF(M19="A",_xll.DBRW($C$2,$E$16,$D$16,$F$16,M$22,$C24,$G$16),_xll.DBRW($C$14,$E$16,$D$16,$F$16,M$22,$C24,$G$16))</f>
        <v>#VALUE!</v>
      </c>
      <c r="N24" s="36" t="e">
        <f xml:space="preserve"> IF(N19="A",_xll.DBRW($C$2,$E$16,$D$16,$F$16,N$22,$C24,$G$16),_xll.DBRW($C$14,$E$16,$D$16,$F$16,N$22,$C24,$G$16))</f>
        <v>#VALUE!</v>
      </c>
      <c r="O24" s="36" t="e">
        <f xml:space="preserve"> IF(O19="A",_xll.DBRW($C$2,$E$16,$D$16,$F$16,O$22,$C24,$G$16),_xll.DBRW($C$14,$E$16,$D$16,$F$16,O$22,$C24,$G$16))</f>
        <v>#VALUE!</v>
      </c>
      <c r="P24" s="36" t="e">
        <f xml:space="preserve"> IF(P19="A",_xll.DBRW($C$2,$E$16,$D$16,$F$16,P$22,$C24,$G$16),_xll.DBRW($C$14,$E$16,$D$16,$F$16,P$22,$C24,$G$16))</f>
        <v>#VALUE!</v>
      </c>
      <c r="Q24" s="37" t="e">
        <f xml:space="preserve"> IF(Q19="A",_xll.DBRW($C$2,$E$16,$D$16,$F$16,Q$22,$C24,$G$16),_xll.DBRW($C$14,$E$16,$D$16,$F$16,Q$22,$C24,$G$16))</f>
        <v>#VALUE!</v>
      </c>
    </row>
    <row r="25" spans="2:17" s="5" customFormat="1" ht="16.5" thickBot="1" x14ac:dyDescent="0.3">
      <c r="B25" s="5" t="e">
        <f ca="1">IF(_xll.TM1RPTELISCONSOLIDATED($C$23,$C25),IF(_xll.TM1RPTELLEV($C$23,$C25)&lt;=5,_xll.TM1RPTELLEV($C$23,$C25),"Default"),"Leaf")</f>
        <v>#VALUE!</v>
      </c>
      <c r="C25" s="49" t="s">
        <v>26</v>
      </c>
      <c r="D25" s="6" t="str">
        <f>_xll.DBRW("24Retail:FcstMethod",$C25,"FcstMethod")</f>
        <v/>
      </c>
      <c r="E25" s="7" t="e">
        <f xml:space="preserve"> IF(E20="A",_xll.DBRW($C$2,$E$16,$D$16,$F$16,E$22,$C25,$G$16),_xll.DBRW($C$14,$E$16,$D$16,$F$16,E$22,$C25,$G$16))</f>
        <v>#VALUE!</v>
      </c>
      <c r="F25" s="7" t="e">
        <f xml:space="preserve"> IF(F20="A",_xll.DBRW($C$2,$E$16,$D$16,$F$16,F$22,$C25,$G$16),_xll.DBRW($C$14,$E$16,$D$16,$F$16,F$22,$C25,$G$16))</f>
        <v>#VALUE!</v>
      </c>
      <c r="G25" s="7" t="e">
        <f xml:space="preserve"> IF(G20="A",_xll.DBRW($C$2,$E$16,$D$16,$F$16,G$22,$C25,$G$16),_xll.DBRW($C$14,$E$16,$D$16,$F$16,G$22,$C25,$G$16))</f>
        <v>#VALUE!</v>
      </c>
      <c r="H25" s="7" t="e">
        <f xml:space="preserve"> IF(H20="A",_xll.DBRW($C$2,$E$16,$D$16,$F$16,H$22,$C25,$G$16),_xll.DBRW($C$14,$E$16,$D$16,$F$16,H$22,$C25,$G$16))</f>
        <v>#VALUE!</v>
      </c>
      <c r="I25" s="7" t="e">
        <f xml:space="preserve"> IF(I20="A",_xll.DBRW($C$2,$E$16,$D$16,$F$16,I$22,$C25,$G$16),_xll.DBRW($C$14,$E$16,$D$16,$F$16,I$22,$C25,$G$16))</f>
        <v>#VALUE!</v>
      </c>
      <c r="J25" s="7" t="e">
        <f xml:space="preserve"> IF(J20="A",_xll.DBRW($C$2,$E$16,$D$16,$F$16,J$22,$C25,$G$16),_xll.DBRW($C$14,$E$16,$D$16,$F$16,J$22,$C25,$G$16))</f>
        <v>#VALUE!</v>
      </c>
      <c r="K25" s="7" t="e">
        <f xml:space="preserve"> IF(K20="A",_xll.DBRW($C$2,$E$16,$D$16,$F$16,K$22,$C25,$G$16),_xll.DBRW($C$14,$E$16,$D$16,$F$16,K$22,$C25,$G$16))</f>
        <v>#VALUE!</v>
      </c>
      <c r="L25" s="7" t="e">
        <f xml:space="preserve"> IF(L20="A",_xll.DBRW($C$2,$E$16,$D$16,$F$16,L$22,$C25,$G$16),_xll.DBRW($C$14,$E$16,$D$16,$F$16,L$22,$C25,$G$16))</f>
        <v>#VALUE!</v>
      </c>
      <c r="M25" s="7" t="e">
        <f xml:space="preserve"> IF(M20="A",_xll.DBRW($C$2,$E$16,$D$16,$F$16,M$22,$C25,$G$16),_xll.DBRW($C$14,$E$16,$D$16,$F$16,M$22,$C25,$G$16))</f>
        <v>#VALUE!</v>
      </c>
      <c r="N25" s="7" t="e">
        <f xml:space="preserve"> IF(N20="A",_xll.DBRW($C$2,$E$16,$D$16,$F$16,N$22,$C25,$G$16),_xll.DBRW($C$14,$E$16,$D$16,$F$16,N$22,$C25,$G$16))</f>
        <v>#VALUE!</v>
      </c>
      <c r="O25" s="7" t="e">
        <f xml:space="preserve"> IF(O20="A",_xll.DBRW($C$2,$E$16,$D$16,$F$16,O$22,$C25,$G$16),_xll.DBRW($C$14,$E$16,$D$16,$F$16,O$22,$C25,$G$16))</f>
        <v>#VALUE!</v>
      </c>
      <c r="P25" s="7" t="e">
        <f xml:space="preserve"> IF(P20="A",_xll.DBRW($C$2,$E$16,$D$16,$F$16,P$22,$C25,$G$16),_xll.DBRW($C$14,$E$16,$D$16,$F$16,P$22,$C25,$G$16))</f>
        <v>#VALUE!</v>
      </c>
      <c r="Q25" s="8" t="e">
        <f xml:space="preserve"> IF(Q20="A",_xll.DBRW($C$2,$E$16,$D$16,$F$16,Q$22,$C25,$G$16),_xll.DBRW($C$14,$E$16,$D$16,$F$16,Q$22,$C25,$G$16))</f>
        <v>#VALUE!</v>
      </c>
    </row>
    <row r="26" spans="2:17" s="5" customFormat="1" ht="16.5" thickBot="1" x14ac:dyDescent="0.3">
      <c r="B26" s="5" t="e">
        <f ca="1">IF(_xll.TM1RPTELISCONSOLIDATED($C$23,$C26),IF(_xll.TM1RPTELLEV($C$23,$C26)&lt;=5,_xll.TM1RPTELLEV($C$23,$C26),"Default"),"Leaf")</f>
        <v>#VALUE!</v>
      </c>
      <c r="C26" s="49" t="s">
        <v>27</v>
      </c>
      <c r="D26" s="6" t="str">
        <f>_xll.DBRW("24Retail:FcstMethod",$C26,"FcstMethod")</f>
        <v>Budget</v>
      </c>
      <c r="E26" s="7" t="e">
        <f xml:space="preserve"> IF(E21="A",_xll.DBRW($C$2,$E$16,$D$16,$F$16,E$22,$C26,$G$16),_xll.DBRW($C$14,$E$16,$D$16,$F$16,E$22,$C26,$G$16))</f>
        <v>#VALUE!</v>
      </c>
      <c r="F26" s="7" t="e">
        <f xml:space="preserve"> IF(F21="A",_xll.DBRW($C$2,$E$16,$D$16,$F$16,F$22,$C26,$G$16),_xll.DBRW($C$14,$E$16,$D$16,$F$16,F$22,$C26,$G$16))</f>
        <v>#VALUE!</v>
      </c>
      <c r="G26" s="7" t="e">
        <f xml:space="preserve"> IF(G21="A",_xll.DBRW($C$2,$E$16,$D$16,$F$16,G$22,$C26,$G$16),_xll.DBRW($C$14,$E$16,$D$16,$F$16,G$22,$C26,$G$16))</f>
        <v>#VALUE!</v>
      </c>
      <c r="H26" s="7" t="e">
        <f xml:space="preserve"> IF(H21="A",_xll.DBRW($C$2,$E$16,$D$16,$F$16,H$22,$C26,$G$16),_xll.DBRW($C$14,$E$16,$D$16,$F$16,H$22,$C26,$G$16))</f>
        <v>#VALUE!</v>
      </c>
      <c r="I26" s="7" t="e">
        <f xml:space="preserve"> IF(I21="A",_xll.DBRW($C$2,$E$16,$D$16,$F$16,I$22,$C26,$G$16),_xll.DBRW($C$14,$E$16,$D$16,$F$16,I$22,$C26,$G$16))</f>
        <v>#VALUE!</v>
      </c>
      <c r="J26" s="7" t="e">
        <f xml:space="preserve"> IF(J21="A",_xll.DBRW($C$2,$E$16,$D$16,$F$16,J$22,$C26,$G$16),_xll.DBRW($C$14,$E$16,$D$16,$F$16,J$22,$C26,$G$16))</f>
        <v>#VALUE!</v>
      </c>
      <c r="K26" s="7" t="e">
        <f xml:space="preserve"> IF(K21="A",_xll.DBRW($C$2,$E$16,$D$16,$F$16,K$22,$C26,$G$16),_xll.DBRW($C$14,$E$16,$D$16,$F$16,K$22,$C26,$G$16))</f>
        <v>#VALUE!</v>
      </c>
      <c r="L26" s="7" t="e">
        <f xml:space="preserve"> IF(L21="A",_xll.DBRW($C$2,$E$16,$D$16,$F$16,L$22,$C26,$G$16),_xll.DBRW($C$14,$E$16,$D$16,$F$16,L$22,$C26,$G$16))</f>
        <v>#VALUE!</v>
      </c>
      <c r="M26" s="7" t="e">
        <f xml:space="preserve"> IF(M21="A",_xll.DBRW($C$2,$E$16,$D$16,$F$16,M$22,$C26,$G$16),_xll.DBRW($C$14,$E$16,$D$16,$F$16,M$22,$C26,$G$16))</f>
        <v>#VALUE!</v>
      </c>
      <c r="N26" s="7" t="e">
        <f xml:space="preserve"> IF(N21="A",_xll.DBRW($C$2,$E$16,$D$16,$F$16,N$22,$C26,$G$16),_xll.DBRW($C$14,$E$16,$D$16,$F$16,N$22,$C26,$G$16))</f>
        <v>#VALUE!</v>
      </c>
      <c r="O26" s="7" t="e">
        <f xml:space="preserve"> IF(O21="A",_xll.DBRW($C$2,$E$16,$D$16,$F$16,O$22,$C26,$G$16),_xll.DBRW($C$14,$E$16,$D$16,$F$16,O$22,$C26,$G$16))</f>
        <v>#VALUE!</v>
      </c>
      <c r="P26" s="7" t="e">
        <f xml:space="preserve"> IF(P21="A",_xll.DBRW($C$2,$E$16,$D$16,$F$16,P$22,$C26,$G$16),_xll.DBRW($C$14,$E$16,$D$16,$F$16,P$22,$C26,$G$16))</f>
        <v>#VALUE!</v>
      </c>
      <c r="Q26" s="8" t="e">
        <f xml:space="preserve"> IF(Q21="A",_xll.DBRW($C$2,$E$16,$D$16,$F$16,Q$22,$C26,$G$16),_xll.DBRW($C$14,$E$16,$D$16,$F$16,Q$22,$C26,$G$16))</f>
        <v>#VALUE!</v>
      </c>
    </row>
    <row r="27" spans="2:17" s="5" customFormat="1" ht="16.5" thickBot="1" x14ac:dyDescent="0.3">
      <c r="B27" s="5" t="e">
        <f ca="1">IF(_xll.TM1RPTELISCONSOLIDATED($C$23,$C27),IF(_xll.TM1RPTELLEV($C$23,$C27)&lt;=5,_xll.TM1RPTELLEV($C$23,$C27),"Default"),"Leaf")</f>
        <v>#VALUE!</v>
      </c>
      <c r="C27" s="49" t="s">
        <v>28</v>
      </c>
      <c r="D27" s="6" t="str">
        <f>_xll.DBRW("24Retail:FcstMethod",$C27,"FcstMethod")</f>
        <v/>
      </c>
      <c r="E27" s="7" t="e">
        <f xml:space="preserve"> IF(E22="A",_xll.DBRW($C$2,$E$16,$D$16,$F$16,E$22,$C27,$G$16),_xll.DBRW($C$14,$E$16,$D$16,$F$16,E$22,$C27,$G$16))</f>
        <v>#VALUE!</v>
      </c>
      <c r="F27" s="7" t="e">
        <f xml:space="preserve"> IF(F22="A",_xll.DBRW($C$2,$E$16,$D$16,$F$16,F$22,$C27,$G$16),_xll.DBRW($C$14,$E$16,$D$16,$F$16,F$22,$C27,$G$16))</f>
        <v>#VALUE!</v>
      </c>
      <c r="G27" s="7" t="e">
        <f xml:space="preserve"> IF(G22="A",_xll.DBRW($C$2,$E$16,$D$16,$F$16,G$22,$C27,$G$16),_xll.DBRW($C$14,$E$16,$D$16,$F$16,G$22,$C27,$G$16))</f>
        <v>#VALUE!</v>
      </c>
      <c r="H27" s="7" t="e">
        <f xml:space="preserve"> IF(H22="A",_xll.DBRW($C$2,$E$16,$D$16,$F$16,H$22,$C27,$G$16),_xll.DBRW($C$14,$E$16,$D$16,$F$16,H$22,$C27,$G$16))</f>
        <v>#VALUE!</v>
      </c>
      <c r="I27" s="7" t="e">
        <f xml:space="preserve"> IF(I22="A",_xll.DBRW($C$2,$E$16,$D$16,$F$16,I$22,$C27,$G$16),_xll.DBRW($C$14,$E$16,$D$16,$F$16,I$22,$C27,$G$16))</f>
        <v>#VALUE!</v>
      </c>
      <c r="J27" s="7" t="e">
        <f xml:space="preserve"> IF(J22="A",_xll.DBRW($C$2,$E$16,$D$16,$F$16,J$22,$C27,$G$16),_xll.DBRW($C$14,$E$16,$D$16,$F$16,J$22,$C27,$G$16))</f>
        <v>#VALUE!</v>
      </c>
      <c r="K27" s="7" t="e">
        <f xml:space="preserve"> IF(K22="A",_xll.DBRW($C$2,$E$16,$D$16,$F$16,K$22,$C27,$G$16),_xll.DBRW($C$14,$E$16,$D$16,$F$16,K$22,$C27,$G$16))</f>
        <v>#VALUE!</v>
      </c>
      <c r="L27" s="7" t="e">
        <f xml:space="preserve"> IF(L22="A",_xll.DBRW($C$2,$E$16,$D$16,$F$16,L$22,$C27,$G$16),_xll.DBRW($C$14,$E$16,$D$16,$F$16,L$22,$C27,$G$16))</f>
        <v>#VALUE!</v>
      </c>
      <c r="M27" s="7" t="e">
        <f xml:space="preserve"> IF(M22="A",_xll.DBRW($C$2,$E$16,$D$16,$F$16,M$22,$C27,$G$16),_xll.DBRW($C$14,$E$16,$D$16,$F$16,M$22,$C27,$G$16))</f>
        <v>#VALUE!</v>
      </c>
      <c r="N27" s="7" t="e">
        <f xml:space="preserve"> IF(N22="A",_xll.DBRW($C$2,$E$16,$D$16,$F$16,N$22,$C27,$G$16),_xll.DBRW($C$14,$E$16,$D$16,$F$16,N$22,$C27,$G$16))</f>
        <v>#VALUE!</v>
      </c>
      <c r="O27" s="7" t="e">
        <f xml:space="preserve"> IF(O22="A",_xll.DBRW($C$2,$E$16,$D$16,$F$16,O$22,$C27,$G$16),_xll.DBRW($C$14,$E$16,$D$16,$F$16,O$22,$C27,$G$16))</f>
        <v>#VALUE!</v>
      </c>
      <c r="P27" s="7" t="e">
        <f xml:space="preserve"> IF(P22="A",_xll.DBRW($C$2,$E$16,$D$16,$F$16,P$22,$C27,$G$16),_xll.DBRW($C$14,$E$16,$D$16,$F$16,P$22,$C27,$G$16))</f>
        <v>#VALUE!</v>
      </c>
      <c r="Q27" s="8" t="e">
        <f xml:space="preserve"> IF(Q22="A",_xll.DBRW($C$2,$E$16,$D$16,$F$16,Q$22,$C27,$G$16),_xll.DBRW($C$14,$E$16,$D$16,$F$16,Q$22,$C27,$G$16))</f>
        <v>#VALUE!</v>
      </c>
    </row>
    <row r="28" spans="2:17" s="5" customFormat="1" ht="16.5" thickBot="1" x14ac:dyDescent="0.3">
      <c r="B28" s="5" t="e">
        <f ca="1">IF(_xll.TM1RPTELISCONSOLIDATED($C$23,$C28),IF(_xll.TM1RPTELLEV($C$23,$C28)&lt;=5,_xll.TM1RPTELLEV($C$23,$C28),"Default"),"Leaf")</f>
        <v>#VALUE!</v>
      </c>
      <c r="C28" s="49" t="s">
        <v>29</v>
      </c>
      <c r="D28" s="6" t="str">
        <f>_xll.DBRW("24Retail:FcstMethod",$C28,"FcstMethod")</f>
        <v/>
      </c>
      <c r="E28" s="7" t="e">
        <f ca="1" xml:space="preserve"> IF(E23="A",_xll.DBRW($C$2,$E$16,$D$16,$F$16,E$22,$C28,$G$16),_xll.DBRW($C$14,$E$16,$D$16,$F$16,E$22,$C28,$G$16))</f>
        <v>#VALUE!</v>
      </c>
      <c r="F28" s="7" t="e">
        <f ca="1" xml:space="preserve"> IF(F23="A",_xll.DBRW($C$2,$E$16,$D$16,$F$16,F$22,$C28,$G$16),_xll.DBRW($C$14,$E$16,$D$16,$F$16,F$22,$C28,$G$16))</f>
        <v>#VALUE!</v>
      </c>
      <c r="G28" s="7" t="e">
        <f ca="1" xml:space="preserve"> IF(G23="A",_xll.DBRW($C$2,$E$16,$D$16,$F$16,G$22,$C28,$G$16),_xll.DBRW($C$14,$E$16,$D$16,$F$16,G$22,$C28,$G$16))</f>
        <v>#VALUE!</v>
      </c>
      <c r="H28" s="7" t="e">
        <f ca="1" xml:space="preserve"> IF(H23="A",_xll.DBRW($C$2,$E$16,$D$16,$F$16,H$22,$C28,$G$16),_xll.DBRW($C$14,$E$16,$D$16,$F$16,H$22,$C28,$G$16))</f>
        <v>#VALUE!</v>
      </c>
      <c r="I28" s="7" t="e">
        <f ca="1" xml:space="preserve"> IF(I23="A",_xll.DBRW($C$2,$E$16,$D$16,$F$16,I$22,$C28,$G$16),_xll.DBRW($C$14,$E$16,$D$16,$F$16,I$22,$C28,$G$16))</f>
        <v>#VALUE!</v>
      </c>
      <c r="J28" s="7" t="e">
        <f ca="1" xml:space="preserve"> IF(J23="A",_xll.DBRW($C$2,$E$16,$D$16,$F$16,J$22,$C28,$G$16),_xll.DBRW($C$14,$E$16,$D$16,$F$16,J$22,$C28,$G$16))</f>
        <v>#VALUE!</v>
      </c>
      <c r="K28" s="7" t="e">
        <f ca="1" xml:space="preserve"> IF(K23="A",_xll.DBRW($C$2,$E$16,$D$16,$F$16,K$22,$C28,$G$16),_xll.DBRW($C$14,$E$16,$D$16,$F$16,K$22,$C28,$G$16))</f>
        <v>#VALUE!</v>
      </c>
      <c r="L28" s="7" t="e">
        <f ca="1" xml:space="preserve"> IF(L23="A",_xll.DBRW($C$2,$E$16,$D$16,$F$16,L$22,$C28,$G$16),_xll.DBRW($C$14,$E$16,$D$16,$F$16,L$22,$C28,$G$16))</f>
        <v>#VALUE!</v>
      </c>
      <c r="M28" s="7" t="e">
        <f ca="1" xml:space="preserve"> IF(M23="A",_xll.DBRW($C$2,$E$16,$D$16,$F$16,M$22,$C28,$G$16),_xll.DBRW($C$14,$E$16,$D$16,$F$16,M$22,$C28,$G$16))</f>
        <v>#VALUE!</v>
      </c>
      <c r="N28" s="7" t="e">
        <f ca="1" xml:space="preserve"> IF(N23="A",_xll.DBRW($C$2,$E$16,$D$16,$F$16,N$22,$C28,$G$16),_xll.DBRW($C$14,$E$16,$D$16,$F$16,N$22,$C28,$G$16))</f>
        <v>#VALUE!</v>
      </c>
      <c r="O28" s="7" t="e">
        <f ca="1" xml:space="preserve"> IF(O23="A",_xll.DBRW($C$2,$E$16,$D$16,$F$16,O$22,$C28,$G$16),_xll.DBRW($C$14,$E$16,$D$16,$F$16,O$22,$C28,$G$16))</f>
        <v>#VALUE!</v>
      </c>
      <c r="P28" s="7" t="e">
        <f ca="1" xml:space="preserve"> IF(P23="A",_xll.DBRW($C$2,$E$16,$D$16,$F$16,P$22,$C28,$G$16),_xll.DBRW($C$14,$E$16,$D$16,$F$16,P$22,$C28,$G$16))</f>
        <v>#VALUE!</v>
      </c>
      <c r="Q28" s="8" t="e">
        <f ca="1" xml:space="preserve"> IF(Q23="A",_xll.DBRW($C$2,$E$16,$D$16,$F$16,Q$22,$C28,$G$16),_xll.DBRW($C$14,$E$16,$D$16,$F$16,Q$22,$C28,$G$16))</f>
        <v>#VALUE!</v>
      </c>
    </row>
    <row r="29" spans="2:17" s="5" customFormat="1" ht="16.5" thickBot="1" x14ac:dyDescent="0.3">
      <c r="B29" s="5" t="e">
        <f ca="1">IF(_xll.TM1RPTELISCONSOLIDATED($C$23,$C29),IF(_xll.TM1RPTELLEV($C$23,$C29)&lt;=5,_xll.TM1RPTELLEV($C$23,$C29),"Default"),"Leaf")</f>
        <v>#VALUE!</v>
      </c>
      <c r="C29" s="49" t="s">
        <v>30</v>
      </c>
      <c r="D29" s="6" t="str">
        <f>_xll.DBRW("24Retail:FcstMethod",$C29,"FcstMethod")</f>
        <v/>
      </c>
      <c r="E29" s="7" t="e">
        <f xml:space="preserve"> IF(E24="A",_xll.DBRW($C$2,$E$16,$D$16,$F$16,E$22,$C29,$G$16),_xll.DBRW($C$14,$E$16,$D$16,$F$16,E$22,$C29,$G$16))</f>
        <v>#VALUE!</v>
      </c>
      <c r="F29" s="7" t="e">
        <f xml:space="preserve"> IF(F24="A",_xll.DBRW($C$2,$E$16,$D$16,$F$16,F$22,$C29,$G$16),_xll.DBRW($C$14,$E$16,$D$16,$F$16,F$22,$C29,$G$16))</f>
        <v>#VALUE!</v>
      </c>
      <c r="G29" s="7" t="e">
        <f xml:space="preserve"> IF(G24="A",_xll.DBRW($C$2,$E$16,$D$16,$F$16,G$22,$C29,$G$16),_xll.DBRW($C$14,$E$16,$D$16,$F$16,G$22,$C29,$G$16))</f>
        <v>#VALUE!</v>
      </c>
      <c r="H29" s="7" t="e">
        <f xml:space="preserve"> IF(H24="A",_xll.DBRW($C$2,$E$16,$D$16,$F$16,H$22,$C29,$G$16),_xll.DBRW($C$14,$E$16,$D$16,$F$16,H$22,$C29,$G$16))</f>
        <v>#VALUE!</v>
      </c>
      <c r="I29" s="7" t="e">
        <f xml:space="preserve"> IF(I24="A",_xll.DBRW($C$2,$E$16,$D$16,$F$16,I$22,$C29,$G$16),_xll.DBRW($C$14,$E$16,$D$16,$F$16,I$22,$C29,$G$16))</f>
        <v>#VALUE!</v>
      </c>
      <c r="J29" s="7" t="e">
        <f xml:space="preserve"> IF(J24="A",_xll.DBRW($C$2,$E$16,$D$16,$F$16,J$22,$C29,$G$16),_xll.DBRW($C$14,$E$16,$D$16,$F$16,J$22,$C29,$G$16))</f>
        <v>#VALUE!</v>
      </c>
      <c r="K29" s="7" t="e">
        <f xml:space="preserve"> IF(K24="A",_xll.DBRW($C$2,$E$16,$D$16,$F$16,K$22,$C29,$G$16),_xll.DBRW($C$14,$E$16,$D$16,$F$16,K$22,$C29,$G$16))</f>
        <v>#VALUE!</v>
      </c>
      <c r="L29" s="7" t="e">
        <f xml:space="preserve"> IF(L24="A",_xll.DBRW($C$2,$E$16,$D$16,$F$16,L$22,$C29,$G$16),_xll.DBRW($C$14,$E$16,$D$16,$F$16,L$22,$C29,$G$16))</f>
        <v>#VALUE!</v>
      </c>
      <c r="M29" s="7" t="e">
        <f xml:space="preserve"> IF(M24="A",_xll.DBRW($C$2,$E$16,$D$16,$F$16,M$22,$C29,$G$16),_xll.DBRW($C$14,$E$16,$D$16,$F$16,M$22,$C29,$G$16))</f>
        <v>#VALUE!</v>
      </c>
      <c r="N29" s="7" t="e">
        <f xml:space="preserve"> IF(N24="A",_xll.DBRW($C$2,$E$16,$D$16,$F$16,N$22,$C29,$G$16),_xll.DBRW($C$14,$E$16,$D$16,$F$16,N$22,$C29,$G$16))</f>
        <v>#VALUE!</v>
      </c>
      <c r="O29" s="7" t="e">
        <f xml:space="preserve"> IF(O24="A",_xll.DBRW($C$2,$E$16,$D$16,$F$16,O$22,$C29,$G$16),_xll.DBRW($C$14,$E$16,$D$16,$F$16,O$22,$C29,$G$16))</f>
        <v>#VALUE!</v>
      </c>
      <c r="P29" s="7" t="e">
        <f xml:space="preserve"> IF(P24="A",_xll.DBRW($C$2,$E$16,$D$16,$F$16,P$22,$C29,$G$16),_xll.DBRW($C$14,$E$16,$D$16,$F$16,P$22,$C29,$G$16))</f>
        <v>#VALUE!</v>
      </c>
      <c r="Q29" s="8" t="e">
        <f xml:space="preserve"> IF(Q24="A",_xll.DBRW($C$2,$E$16,$D$16,$F$16,Q$22,$C29,$G$16),_xll.DBRW($C$14,$E$16,$D$16,$F$16,Q$22,$C29,$G$16))</f>
        <v>#VALUE!</v>
      </c>
    </row>
    <row r="30" spans="2:17" s="5" customFormat="1" ht="16.5" thickBot="1" x14ac:dyDescent="0.3">
      <c r="B30" s="5" t="e">
        <f ca="1">IF(_xll.TM1RPTELISCONSOLIDATED($C$23,$C30),IF(_xll.TM1RPTELLEV($C$23,$C30)&lt;=5,_xll.TM1RPTELLEV($C$23,$C30),"Default"),"Leaf")</f>
        <v>#VALUE!</v>
      </c>
      <c r="C30" s="49" t="s">
        <v>31</v>
      </c>
      <c r="D30" s="6" t="str">
        <f>_xll.DBRW("24Retail:FcstMethod",$C30,"FcstMethod")</f>
        <v>Budget</v>
      </c>
      <c r="E30" s="7" t="e">
        <f xml:space="preserve"> IF(E25="A",_xll.DBRW($C$2,$E$16,$D$16,$F$16,E$22,$C30,$G$16),_xll.DBRW($C$14,$E$16,$D$16,$F$16,E$22,$C30,$G$16))</f>
        <v>#VALUE!</v>
      </c>
      <c r="F30" s="7" t="e">
        <f xml:space="preserve"> IF(F25="A",_xll.DBRW($C$2,$E$16,$D$16,$F$16,F$22,$C30,$G$16),_xll.DBRW($C$14,$E$16,$D$16,$F$16,F$22,$C30,$G$16))</f>
        <v>#VALUE!</v>
      </c>
      <c r="G30" s="7" t="e">
        <f xml:space="preserve"> IF(G25="A",_xll.DBRW($C$2,$E$16,$D$16,$F$16,G$22,$C30,$G$16),_xll.DBRW($C$14,$E$16,$D$16,$F$16,G$22,$C30,$G$16))</f>
        <v>#VALUE!</v>
      </c>
      <c r="H30" s="7" t="e">
        <f xml:space="preserve"> IF(H25="A",_xll.DBRW($C$2,$E$16,$D$16,$F$16,H$22,$C30,$G$16),_xll.DBRW($C$14,$E$16,$D$16,$F$16,H$22,$C30,$G$16))</f>
        <v>#VALUE!</v>
      </c>
      <c r="I30" s="7" t="e">
        <f xml:space="preserve"> IF(I25="A",_xll.DBRW($C$2,$E$16,$D$16,$F$16,I$22,$C30,$G$16),_xll.DBRW($C$14,$E$16,$D$16,$F$16,I$22,$C30,$G$16))</f>
        <v>#VALUE!</v>
      </c>
      <c r="J30" s="7" t="e">
        <f xml:space="preserve"> IF(J25="A",_xll.DBRW($C$2,$E$16,$D$16,$F$16,J$22,$C30,$G$16),_xll.DBRW($C$14,$E$16,$D$16,$F$16,J$22,$C30,$G$16))</f>
        <v>#VALUE!</v>
      </c>
      <c r="K30" s="7" t="e">
        <f xml:space="preserve"> IF(K25="A",_xll.DBRW($C$2,$E$16,$D$16,$F$16,K$22,$C30,$G$16),_xll.DBRW($C$14,$E$16,$D$16,$F$16,K$22,$C30,$G$16))</f>
        <v>#VALUE!</v>
      </c>
      <c r="L30" s="7" t="e">
        <f xml:space="preserve"> IF(L25="A",_xll.DBRW($C$2,$E$16,$D$16,$F$16,L$22,$C30,$G$16),_xll.DBRW($C$14,$E$16,$D$16,$F$16,L$22,$C30,$G$16))</f>
        <v>#VALUE!</v>
      </c>
      <c r="M30" s="7" t="e">
        <f xml:space="preserve"> IF(M25="A",_xll.DBRW($C$2,$E$16,$D$16,$F$16,M$22,$C30,$G$16),_xll.DBRW($C$14,$E$16,$D$16,$F$16,M$22,$C30,$G$16))</f>
        <v>#VALUE!</v>
      </c>
      <c r="N30" s="7" t="e">
        <f xml:space="preserve"> IF(N25="A",_xll.DBRW($C$2,$E$16,$D$16,$F$16,N$22,$C30,$G$16),_xll.DBRW($C$14,$E$16,$D$16,$F$16,N$22,$C30,$G$16))</f>
        <v>#VALUE!</v>
      </c>
      <c r="O30" s="7" t="e">
        <f xml:space="preserve"> IF(O25="A",_xll.DBRW($C$2,$E$16,$D$16,$F$16,O$22,$C30,$G$16),_xll.DBRW($C$14,$E$16,$D$16,$F$16,O$22,$C30,$G$16))</f>
        <v>#VALUE!</v>
      </c>
      <c r="P30" s="7" t="e">
        <f xml:space="preserve"> IF(P25="A",_xll.DBRW($C$2,$E$16,$D$16,$F$16,P$22,$C30,$G$16),_xll.DBRW($C$14,$E$16,$D$16,$F$16,P$22,$C30,$G$16))</f>
        <v>#VALUE!</v>
      </c>
      <c r="Q30" s="8" t="e">
        <f xml:space="preserve"> IF(Q25="A",_xll.DBRW($C$2,$E$16,$D$16,$F$16,Q$22,$C30,$G$16),_xll.DBRW($C$14,$E$16,$D$16,$F$16,Q$22,$C30,$G$16))</f>
        <v>#VALUE!</v>
      </c>
    </row>
    <row r="31" spans="2:17" s="5" customFormat="1" ht="16.5" thickBot="1" x14ac:dyDescent="0.3">
      <c r="B31" s="5" t="e">
        <f ca="1">IF(_xll.TM1RPTELISCONSOLIDATED($C$23,$C31),IF(_xll.TM1RPTELLEV($C$23,$C31)&lt;=5,_xll.TM1RPTELLEV($C$23,$C31),"Default"),"Leaf")</f>
        <v>#VALUE!</v>
      </c>
      <c r="C31" s="49" t="s">
        <v>32</v>
      </c>
      <c r="D31" s="6" t="str">
        <f>_xll.DBRW("24Retail:FcstMethod",$C31,"FcstMethod")</f>
        <v/>
      </c>
      <c r="E31" s="7" t="e">
        <f xml:space="preserve"> IF(E26="A",_xll.DBRW($C$2,$E$16,$D$16,$F$16,E$22,$C31,$G$16),_xll.DBRW($C$14,$E$16,$D$16,$F$16,E$22,$C31,$G$16))</f>
        <v>#VALUE!</v>
      </c>
      <c r="F31" s="7" t="e">
        <f xml:space="preserve"> IF(F26="A",_xll.DBRW($C$2,$E$16,$D$16,$F$16,F$22,$C31,$G$16),_xll.DBRW($C$14,$E$16,$D$16,$F$16,F$22,$C31,$G$16))</f>
        <v>#VALUE!</v>
      </c>
      <c r="G31" s="7" t="e">
        <f xml:space="preserve"> IF(G26="A",_xll.DBRW($C$2,$E$16,$D$16,$F$16,G$22,$C31,$G$16),_xll.DBRW($C$14,$E$16,$D$16,$F$16,G$22,$C31,$G$16))</f>
        <v>#VALUE!</v>
      </c>
      <c r="H31" s="7" t="e">
        <f xml:space="preserve"> IF(H26="A",_xll.DBRW($C$2,$E$16,$D$16,$F$16,H$22,$C31,$G$16),_xll.DBRW($C$14,$E$16,$D$16,$F$16,H$22,$C31,$G$16))</f>
        <v>#VALUE!</v>
      </c>
      <c r="I31" s="7" t="e">
        <f xml:space="preserve"> IF(I26="A",_xll.DBRW($C$2,$E$16,$D$16,$F$16,I$22,$C31,$G$16),_xll.DBRW($C$14,$E$16,$D$16,$F$16,I$22,$C31,$G$16))</f>
        <v>#VALUE!</v>
      </c>
      <c r="J31" s="7" t="e">
        <f xml:space="preserve"> IF(J26="A",_xll.DBRW($C$2,$E$16,$D$16,$F$16,J$22,$C31,$G$16),_xll.DBRW($C$14,$E$16,$D$16,$F$16,J$22,$C31,$G$16))</f>
        <v>#VALUE!</v>
      </c>
      <c r="K31" s="7" t="e">
        <f xml:space="preserve"> IF(K26="A",_xll.DBRW($C$2,$E$16,$D$16,$F$16,K$22,$C31,$G$16),_xll.DBRW($C$14,$E$16,$D$16,$F$16,K$22,$C31,$G$16))</f>
        <v>#VALUE!</v>
      </c>
      <c r="L31" s="7" t="e">
        <f xml:space="preserve"> IF(L26="A",_xll.DBRW($C$2,$E$16,$D$16,$F$16,L$22,$C31,$G$16),_xll.DBRW($C$14,$E$16,$D$16,$F$16,L$22,$C31,$G$16))</f>
        <v>#VALUE!</v>
      </c>
      <c r="M31" s="7" t="e">
        <f xml:space="preserve"> IF(M26="A",_xll.DBRW($C$2,$E$16,$D$16,$F$16,M$22,$C31,$G$16),_xll.DBRW($C$14,$E$16,$D$16,$F$16,M$22,$C31,$G$16))</f>
        <v>#VALUE!</v>
      </c>
      <c r="N31" s="7" t="e">
        <f xml:space="preserve"> IF(N26="A",_xll.DBRW($C$2,$E$16,$D$16,$F$16,N$22,$C31,$G$16),_xll.DBRW($C$14,$E$16,$D$16,$F$16,N$22,$C31,$G$16))</f>
        <v>#VALUE!</v>
      </c>
      <c r="O31" s="7" t="e">
        <f xml:space="preserve"> IF(O26="A",_xll.DBRW($C$2,$E$16,$D$16,$F$16,O$22,$C31,$G$16),_xll.DBRW($C$14,$E$16,$D$16,$F$16,O$22,$C31,$G$16))</f>
        <v>#VALUE!</v>
      </c>
      <c r="P31" s="7" t="e">
        <f xml:space="preserve"> IF(P26="A",_xll.DBRW($C$2,$E$16,$D$16,$F$16,P$22,$C31,$G$16),_xll.DBRW($C$14,$E$16,$D$16,$F$16,P$22,$C31,$G$16))</f>
        <v>#VALUE!</v>
      </c>
      <c r="Q31" s="8" t="e">
        <f xml:space="preserve"> IF(Q26="A",_xll.DBRW($C$2,$E$16,$D$16,$F$16,Q$22,$C31,$G$16),_xll.DBRW($C$14,$E$16,$D$16,$F$16,Q$22,$C31,$G$16))</f>
        <v>#VALUE!</v>
      </c>
    </row>
    <row r="32" spans="2:17" s="5" customFormat="1" ht="16.5" thickBot="1" x14ac:dyDescent="0.3">
      <c r="B32" s="5" t="e">
        <f ca="1">IF(_xll.TM1RPTELISCONSOLIDATED($C$23,$C32),IF(_xll.TM1RPTELLEV($C$23,$C32)&lt;=5,_xll.TM1RPTELLEV($C$23,$C32),"Default"),"Leaf")</f>
        <v>#VALUE!</v>
      </c>
      <c r="C32" s="49" t="s">
        <v>33</v>
      </c>
      <c r="D32" s="6" t="str">
        <f>_xll.DBRW("24Retail:FcstMethod",$C32,"FcstMethod")</f>
        <v/>
      </c>
      <c r="E32" s="7" t="e">
        <f xml:space="preserve"> IF(E27="A",_xll.DBRW($C$2,$E$16,$D$16,$F$16,E$22,$C32,$G$16),_xll.DBRW($C$14,$E$16,$D$16,$F$16,E$22,$C32,$G$16))</f>
        <v>#VALUE!</v>
      </c>
      <c r="F32" s="7" t="e">
        <f xml:space="preserve"> IF(F27="A",_xll.DBRW($C$2,$E$16,$D$16,$F$16,F$22,$C32,$G$16),_xll.DBRW($C$14,$E$16,$D$16,$F$16,F$22,$C32,$G$16))</f>
        <v>#VALUE!</v>
      </c>
      <c r="G32" s="7" t="e">
        <f xml:space="preserve"> IF(G27="A",_xll.DBRW($C$2,$E$16,$D$16,$F$16,G$22,$C32,$G$16),_xll.DBRW($C$14,$E$16,$D$16,$F$16,G$22,$C32,$G$16))</f>
        <v>#VALUE!</v>
      </c>
      <c r="H32" s="7" t="e">
        <f xml:space="preserve"> IF(H27="A",_xll.DBRW($C$2,$E$16,$D$16,$F$16,H$22,$C32,$G$16),_xll.DBRW($C$14,$E$16,$D$16,$F$16,H$22,$C32,$G$16))</f>
        <v>#VALUE!</v>
      </c>
      <c r="I32" s="7" t="e">
        <f xml:space="preserve"> IF(I27="A",_xll.DBRW($C$2,$E$16,$D$16,$F$16,I$22,$C32,$G$16),_xll.DBRW($C$14,$E$16,$D$16,$F$16,I$22,$C32,$G$16))</f>
        <v>#VALUE!</v>
      </c>
      <c r="J32" s="7" t="e">
        <f xml:space="preserve"> IF(J27="A",_xll.DBRW($C$2,$E$16,$D$16,$F$16,J$22,$C32,$G$16),_xll.DBRW($C$14,$E$16,$D$16,$F$16,J$22,$C32,$G$16))</f>
        <v>#VALUE!</v>
      </c>
      <c r="K32" s="7" t="e">
        <f xml:space="preserve"> IF(K27="A",_xll.DBRW($C$2,$E$16,$D$16,$F$16,K$22,$C32,$G$16),_xll.DBRW($C$14,$E$16,$D$16,$F$16,K$22,$C32,$G$16))</f>
        <v>#VALUE!</v>
      </c>
      <c r="L32" s="7" t="e">
        <f xml:space="preserve"> IF(L27="A",_xll.DBRW($C$2,$E$16,$D$16,$F$16,L$22,$C32,$G$16),_xll.DBRW($C$14,$E$16,$D$16,$F$16,L$22,$C32,$G$16))</f>
        <v>#VALUE!</v>
      </c>
      <c r="M32" s="7" t="e">
        <f xml:space="preserve"> IF(M27="A",_xll.DBRW($C$2,$E$16,$D$16,$F$16,M$22,$C32,$G$16),_xll.DBRW($C$14,$E$16,$D$16,$F$16,M$22,$C32,$G$16))</f>
        <v>#VALUE!</v>
      </c>
      <c r="N32" s="7" t="e">
        <f xml:space="preserve"> IF(N27="A",_xll.DBRW($C$2,$E$16,$D$16,$F$16,N$22,$C32,$G$16),_xll.DBRW($C$14,$E$16,$D$16,$F$16,N$22,$C32,$G$16))</f>
        <v>#VALUE!</v>
      </c>
      <c r="O32" s="7" t="e">
        <f xml:space="preserve"> IF(O27="A",_xll.DBRW($C$2,$E$16,$D$16,$F$16,O$22,$C32,$G$16),_xll.DBRW($C$14,$E$16,$D$16,$F$16,O$22,$C32,$G$16))</f>
        <v>#VALUE!</v>
      </c>
      <c r="P32" s="7" t="e">
        <f xml:space="preserve"> IF(P27="A",_xll.DBRW($C$2,$E$16,$D$16,$F$16,P$22,$C32,$G$16),_xll.DBRW($C$14,$E$16,$D$16,$F$16,P$22,$C32,$G$16))</f>
        <v>#VALUE!</v>
      </c>
      <c r="Q32" s="8" t="e">
        <f xml:space="preserve"> IF(Q27="A",_xll.DBRW($C$2,$E$16,$D$16,$F$16,Q$22,$C32,$G$16),_xll.DBRW($C$14,$E$16,$D$16,$F$16,Q$22,$C32,$G$16))</f>
        <v>#VALUE!</v>
      </c>
    </row>
    <row r="33" spans="2:17" s="5" customFormat="1" ht="16.5" thickBot="1" x14ac:dyDescent="0.3">
      <c r="B33" s="5" t="e">
        <f ca="1">IF(_xll.TM1RPTELISCONSOLIDATED($C$23,$C33),IF(_xll.TM1RPTELLEV($C$23,$C33)&lt;=5,_xll.TM1RPTELLEV($C$23,$C33),"Default"),"Leaf")</f>
        <v>#VALUE!</v>
      </c>
      <c r="C33" s="49" t="s">
        <v>34</v>
      </c>
      <c r="D33" s="6" t="str">
        <f>_xll.DBRW("24Retail:FcstMethod",$C33,"FcstMethod")</f>
        <v/>
      </c>
      <c r="E33" s="7" t="e">
        <f ca="1" xml:space="preserve"> IF(E28="A",_xll.DBRW($C$2,$E$16,$D$16,$F$16,E$22,$C33,$G$16),_xll.DBRW($C$14,$E$16,$D$16,$F$16,E$22,$C33,$G$16))</f>
        <v>#VALUE!</v>
      </c>
      <c r="F33" s="7" t="e">
        <f ca="1" xml:space="preserve"> IF(F28="A",_xll.DBRW($C$2,$E$16,$D$16,$F$16,F$22,$C33,$G$16),_xll.DBRW($C$14,$E$16,$D$16,$F$16,F$22,$C33,$G$16))</f>
        <v>#VALUE!</v>
      </c>
      <c r="G33" s="7" t="e">
        <f ca="1" xml:space="preserve"> IF(G28="A",_xll.DBRW($C$2,$E$16,$D$16,$F$16,G$22,$C33,$G$16),_xll.DBRW($C$14,$E$16,$D$16,$F$16,G$22,$C33,$G$16))</f>
        <v>#VALUE!</v>
      </c>
      <c r="H33" s="7" t="e">
        <f ca="1" xml:space="preserve"> IF(H28="A",_xll.DBRW($C$2,$E$16,$D$16,$F$16,H$22,$C33,$G$16),_xll.DBRW($C$14,$E$16,$D$16,$F$16,H$22,$C33,$G$16))</f>
        <v>#VALUE!</v>
      </c>
      <c r="I33" s="7" t="e">
        <f ca="1" xml:space="preserve"> IF(I28="A",_xll.DBRW($C$2,$E$16,$D$16,$F$16,I$22,$C33,$G$16),_xll.DBRW($C$14,$E$16,$D$16,$F$16,I$22,$C33,$G$16))</f>
        <v>#VALUE!</v>
      </c>
      <c r="J33" s="7" t="e">
        <f ca="1" xml:space="preserve"> IF(J28="A",_xll.DBRW($C$2,$E$16,$D$16,$F$16,J$22,$C33,$G$16),_xll.DBRW($C$14,$E$16,$D$16,$F$16,J$22,$C33,$G$16))</f>
        <v>#VALUE!</v>
      </c>
      <c r="K33" s="7" t="e">
        <f ca="1" xml:space="preserve"> IF(K28="A",_xll.DBRW($C$2,$E$16,$D$16,$F$16,K$22,$C33,$G$16),_xll.DBRW($C$14,$E$16,$D$16,$F$16,K$22,$C33,$G$16))</f>
        <v>#VALUE!</v>
      </c>
      <c r="L33" s="7" t="e">
        <f ca="1" xml:space="preserve"> IF(L28="A",_xll.DBRW($C$2,$E$16,$D$16,$F$16,L$22,$C33,$G$16),_xll.DBRW($C$14,$E$16,$D$16,$F$16,L$22,$C33,$G$16))</f>
        <v>#VALUE!</v>
      </c>
      <c r="M33" s="7" t="e">
        <f ca="1" xml:space="preserve"> IF(M28="A",_xll.DBRW($C$2,$E$16,$D$16,$F$16,M$22,$C33,$G$16),_xll.DBRW($C$14,$E$16,$D$16,$F$16,M$22,$C33,$G$16))</f>
        <v>#VALUE!</v>
      </c>
      <c r="N33" s="7" t="e">
        <f ca="1" xml:space="preserve"> IF(N28="A",_xll.DBRW($C$2,$E$16,$D$16,$F$16,N$22,$C33,$G$16),_xll.DBRW($C$14,$E$16,$D$16,$F$16,N$22,$C33,$G$16))</f>
        <v>#VALUE!</v>
      </c>
      <c r="O33" s="7" t="e">
        <f ca="1" xml:space="preserve"> IF(O28="A",_xll.DBRW($C$2,$E$16,$D$16,$F$16,O$22,$C33,$G$16),_xll.DBRW($C$14,$E$16,$D$16,$F$16,O$22,$C33,$G$16))</f>
        <v>#VALUE!</v>
      </c>
      <c r="P33" s="7" t="e">
        <f ca="1" xml:space="preserve"> IF(P28="A",_xll.DBRW($C$2,$E$16,$D$16,$F$16,P$22,$C33,$G$16),_xll.DBRW($C$14,$E$16,$D$16,$F$16,P$22,$C33,$G$16))</f>
        <v>#VALUE!</v>
      </c>
      <c r="Q33" s="8" t="e">
        <f ca="1" xml:space="preserve"> IF(Q28="A",_xll.DBRW($C$2,$E$16,$D$16,$F$16,Q$22,$C33,$G$16),_xll.DBRW($C$14,$E$16,$D$16,$F$16,Q$22,$C33,$G$16))</f>
        <v>#VALUE!</v>
      </c>
    </row>
    <row r="34" spans="2:17" s="5" customFormat="1" ht="16.5" thickBot="1" x14ac:dyDescent="0.3">
      <c r="B34" s="5" t="e">
        <f ca="1">IF(_xll.TM1RPTELISCONSOLIDATED($C$23,$C34),IF(_xll.TM1RPTELLEV($C$23,$C34)&lt;=5,_xll.TM1RPTELLEV($C$23,$C34),"Default"),"Leaf")</f>
        <v>#VALUE!</v>
      </c>
      <c r="C34" s="49" t="s">
        <v>35</v>
      </c>
      <c r="D34" s="6" t="str">
        <f>_xll.DBRW("24Retail:FcstMethod",$C34,"FcstMethod")</f>
        <v/>
      </c>
      <c r="E34" s="7" t="e">
        <f xml:space="preserve"> IF(E29="A",_xll.DBRW($C$2,$E$16,$D$16,$F$16,E$22,$C34,$G$16),_xll.DBRW($C$14,$E$16,$D$16,$F$16,E$22,$C34,$G$16))</f>
        <v>#VALUE!</v>
      </c>
      <c r="F34" s="7" t="e">
        <f xml:space="preserve"> IF(F29="A",_xll.DBRW($C$2,$E$16,$D$16,$F$16,F$22,$C34,$G$16),_xll.DBRW($C$14,$E$16,$D$16,$F$16,F$22,$C34,$G$16))</f>
        <v>#VALUE!</v>
      </c>
      <c r="G34" s="7" t="e">
        <f xml:space="preserve"> IF(G29="A",_xll.DBRW($C$2,$E$16,$D$16,$F$16,G$22,$C34,$G$16),_xll.DBRW($C$14,$E$16,$D$16,$F$16,G$22,$C34,$G$16))</f>
        <v>#VALUE!</v>
      </c>
      <c r="H34" s="7" t="e">
        <f xml:space="preserve"> IF(H29="A",_xll.DBRW($C$2,$E$16,$D$16,$F$16,H$22,$C34,$G$16),_xll.DBRW($C$14,$E$16,$D$16,$F$16,H$22,$C34,$G$16))</f>
        <v>#VALUE!</v>
      </c>
      <c r="I34" s="7" t="e">
        <f xml:space="preserve"> IF(I29="A",_xll.DBRW($C$2,$E$16,$D$16,$F$16,I$22,$C34,$G$16),_xll.DBRW($C$14,$E$16,$D$16,$F$16,I$22,$C34,$G$16))</f>
        <v>#VALUE!</v>
      </c>
      <c r="J34" s="7" t="e">
        <f xml:space="preserve"> IF(J29="A",_xll.DBRW($C$2,$E$16,$D$16,$F$16,J$22,$C34,$G$16),_xll.DBRW($C$14,$E$16,$D$16,$F$16,J$22,$C34,$G$16))</f>
        <v>#VALUE!</v>
      </c>
      <c r="K34" s="7" t="e">
        <f xml:space="preserve"> IF(K29="A",_xll.DBRW($C$2,$E$16,$D$16,$F$16,K$22,$C34,$G$16),_xll.DBRW($C$14,$E$16,$D$16,$F$16,K$22,$C34,$G$16))</f>
        <v>#VALUE!</v>
      </c>
      <c r="L34" s="7" t="e">
        <f xml:space="preserve"> IF(L29="A",_xll.DBRW($C$2,$E$16,$D$16,$F$16,L$22,$C34,$G$16),_xll.DBRW($C$14,$E$16,$D$16,$F$16,L$22,$C34,$G$16))</f>
        <v>#VALUE!</v>
      </c>
      <c r="M34" s="7" t="e">
        <f xml:space="preserve"> IF(M29="A",_xll.DBRW($C$2,$E$16,$D$16,$F$16,M$22,$C34,$G$16),_xll.DBRW($C$14,$E$16,$D$16,$F$16,M$22,$C34,$G$16))</f>
        <v>#VALUE!</v>
      </c>
      <c r="N34" s="7" t="e">
        <f xml:space="preserve"> IF(N29="A",_xll.DBRW($C$2,$E$16,$D$16,$F$16,N$22,$C34,$G$16),_xll.DBRW($C$14,$E$16,$D$16,$F$16,N$22,$C34,$G$16))</f>
        <v>#VALUE!</v>
      </c>
      <c r="O34" s="7" t="e">
        <f xml:space="preserve"> IF(O29="A",_xll.DBRW($C$2,$E$16,$D$16,$F$16,O$22,$C34,$G$16),_xll.DBRW($C$14,$E$16,$D$16,$F$16,O$22,$C34,$G$16))</f>
        <v>#VALUE!</v>
      </c>
      <c r="P34" s="7" t="e">
        <f xml:space="preserve"> IF(P29="A",_xll.DBRW($C$2,$E$16,$D$16,$F$16,P$22,$C34,$G$16),_xll.DBRW($C$14,$E$16,$D$16,$F$16,P$22,$C34,$G$16))</f>
        <v>#VALUE!</v>
      </c>
      <c r="Q34" s="8" t="e">
        <f xml:space="preserve"> IF(Q29="A",_xll.DBRW($C$2,$E$16,$D$16,$F$16,Q$22,$C34,$G$16),_xll.DBRW($C$14,$E$16,$D$16,$F$16,Q$22,$C34,$G$16))</f>
        <v>#VALUE!</v>
      </c>
    </row>
    <row r="35" spans="2:17" s="5" customFormat="1" ht="16.5" thickBot="1" x14ac:dyDescent="0.3">
      <c r="B35" s="5" t="e">
        <f ca="1">IF(_xll.TM1RPTELISCONSOLIDATED($C$23,$C35),IF(_xll.TM1RPTELLEV($C$23,$C35)&lt;=5,_xll.TM1RPTELLEV($C$23,$C35),"Default"),"Leaf")</f>
        <v>#VALUE!</v>
      </c>
      <c r="C35" s="49" t="s">
        <v>36</v>
      </c>
      <c r="D35" s="6" t="str">
        <f>_xll.DBRW("24Retail:FcstMethod",$C35,"FcstMethod")</f>
        <v/>
      </c>
      <c r="E35" s="7" t="e">
        <f xml:space="preserve"> IF(E30="A",_xll.DBRW($C$2,$E$16,$D$16,$F$16,E$22,$C35,$G$16),_xll.DBRW($C$14,$E$16,$D$16,$F$16,E$22,$C35,$G$16))</f>
        <v>#VALUE!</v>
      </c>
      <c r="F35" s="7" t="e">
        <f xml:space="preserve"> IF(F30="A",_xll.DBRW($C$2,$E$16,$D$16,$F$16,F$22,$C35,$G$16),_xll.DBRW($C$14,$E$16,$D$16,$F$16,F$22,$C35,$G$16))</f>
        <v>#VALUE!</v>
      </c>
      <c r="G35" s="7" t="e">
        <f xml:space="preserve"> IF(G30="A",_xll.DBRW($C$2,$E$16,$D$16,$F$16,G$22,$C35,$G$16),_xll.DBRW($C$14,$E$16,$D$16,$F$16,G$22,$C35,$G$16))</f>
        <v>#VALUE!</v>
      </c>
      <c r="H35" s="7" t="e">
        <f xml:space="preserve"> IF(H30="A",_xll.DBRW($C$2,$E$16,$D$16,$F$16,H$22,$C35,$G$16),_xll.DBRW($C$14,$E$16,$D$16,$F$16,H$22,$C35,$G$16))</f>
        <v>#VALUE!</v>
      </c>
      <c r="I35" s="7" t="e">
        <f xml:space="preserve"> IF(I30="A",_xll.DBRW($C$2,$E$16,$D$16,$F$16,I$22,$C35,$G$16),_xll.DBRW($C$14,$E$16,$D$16,$F$16,I$22,$C35,$G$16))</f>
        <v>#VALUE!</v>
      </c>
      <c r="J35" s="7" t="e">
        <f xml:space="preserve"> IF(J30="A",_xll.DBRW($C$2,$E$16,$D$16,$F$16,J$22,$C35,$G$16),_xll.DBRW($C$14,$E$16,$D$16,$F$16,J$22,$C35,$G$16))</f>
        <v>#VALUE!</v>
      </c>
      <c r="K35" s="7" t="e">
        <f xml:space="preserve"> IF(K30="A",_xll.DBRW($C$2,$E$16,$D$16,$F$16,K$22,$C35,$G$16),_xll.DBRW($C$14,$E$16,$D$16,$F$16,K$22,$C35,$G$16))</f>
        <v>#VALUE!</v>
      </c>
      <c r="L35" s="7" t="e">
        <f xml:space="preserve"> IF(L30="A",_xll.DBRW($C$2,$E$16,$D$16,$F$16,L$22,$C35,$G$16),_xll.DBRW($C$14,$E$16,$D$16,$F$16,L$22,$C35,$G$16))</f>
        <v>#VALUE!</v>
      </c>
      <c r="M35" s="7" t="e">
        <f xml:space="preserve"> IF(M30="A",_xll.DBRW($C$2,$E$16,$D$16,$F$16,M$22,$C35,$G$16),_xll.DBRW($C$14,$E$16,$D$16,$F$16,M$22,$C35,$G$16))</f>
        <v>#VALUE!</v>
      </c>
      <c r="N35" s="7" t="e">
        <f xml:space="preserve"> IF(N30="A",_xll.DBRW($C$2,$E$16,$D$16,$F$16,N$22,$C35,$G$16),_xll.DBRW($C$14,$E$16,$D$16,$F$16,N$22,$C35,$G$16))</f>
        <v>#VALUE!</v>
      </c>
      <c r="O35" s="7" t="e">
        <f xml:space="preserve"> IF(O30="A",_xll.DBRW($C$2,$E$16,$D$16,$F$16,O$22,$C35,$G$16),_xll.DBRW($C$14,$E$16,$D$16,$F$16,O$22,$C35,$G$16))</f>
        <v>#VALUE!</v>
      </c>
      <c r="P35" s="7" t="e">
        <f xml:space="preserve"> IF(P30="A",_xll.DBRW($C$2,$E$16,$D$16,$F$16,P$22,$C35,$G$16),_xll.DBRW($C$14,$E$16,$D$16,$F$16,P$22,$C35,$G$16))</f>
        <v>#VALUE!</v>
      </c>
      <c r="Q35" s="8" t="e">
        <f xml:space="preserve"> IF(Q30="A",_xll.DBRW($C$2,$E$16,$D$16,$F$16,Q$22,$C35,$G$16),_xll.DBRW($C$14,$E$16,$D$16,$F$16,Q$22,$C35,$G$16))</f>
        <v>#VALUE!</v>
      </c>
    </row>
    <row r="38" spans="2:17" x14ac:dyDescent="0.25">
      <c r="C38" s="2" t="s">
        <v>39</v>
      </c>
    </row>
    <row r="39" spans="2:17" x14ac:dyDescent="0.25">
      <c r="C39" s="2" t="s">
        <v>40</v>
      </c>
    </row>
  </sheetData>
  <dataValidations count="2">
    <dataValidation allowBlank="1" showInputMessage="1" showErrorMessage="1" error="The value you entered is not valid._x000a_A user has restricted values that can be entered into this cell." sqref="E19:P19" xr:uid="{BCAFC605-6A65-4C50-84DF-2DD8A5D36ACC}"/>
    <dataValidation type="list" errorStyle="information" allowBlank="1" showInputMessage="1" sqref="H16" xr:uid="{F9F666D3-F079-4E4F-8B0A-3CFE5F6D7A53}">
      <formula1>cafe_validation_temp</formula1>
    </dataValidation>
  </dataValidations>
  <pageMargins left="0.7" right="0.7" top="0.75" bottom="0.75" header="0.3" footer="0.3"/>
  <pageSetup orientation="portrait" r:id="rId1"/>
  <customProperties>
    <customPr name="###UNCOMMITTEDCHANGES###" r:id="rId2"/>
    <customPr name="COR_DefaultExpandDirection" r:id="rId3"/>
    <customPr name="COR_GroupingOption" r:id="rId4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Rolling Fcst</vt:lpstr>
      <vt:lpstr>'Rolling Fcst'!TM1RPTDATARNG14022269</vt:lpstr>
      <vt:lpstr>'Rolling Fcst'!TM1RPTFMTIDCOL</vt:lpstr>
      <vt:lpstr>'Rolling Fcst'!TM1RPTFMTIDCOL14022269</vt:lpstr>
      <vt:lpstr>'Rolling Fcst'!TM1RPTFMTRNG</vt:lpstr>
      <vt:lpstr>'Rolling Fcst'!TM1RPTFMTRNG14022269</vt:lpstr>
      <vt:lpstr>'Rolling Fcst'!TM1RPTQRYRNG14022269</vt:lpstr>
      <vt:lpstr>'Rolling Fcst'!TM1RPTVIEWRNG14022269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2022-02-24T13:36:34Z</dcterms:created>
  <dcterms:modified xsi:type="dcterms:W3CDTF">2022-02-24T14:56:36Z</dcterms:modified>
</cp:coreProperties>
</file>
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BM Demos\24Retail\"/>
    </mc:Choice>
  </mc:AlternateContent>
  <xr:revisionPtr revIDLastSave="0" documentId="8_{510616E5-F4D3-4A1D-A305-754D45009EA6}" xr6:coauthVersionLast="47" xr6:coauthVersionMax="47" xr10:uidLastSave="{00000000-0000-0000-0000-000000000000}"/>
  <bookViews>
    <workbookView xWindow="-120" yWindow="-120" windowWidth="29040" windowHeight="15990" firstSheet="1" activeTab="1" xr2:uid="{80838906-CF1C-4087-B551-8C35478A81BF}"/>
  </bookViews>
  <sheets>
    <sheet name="Cognos_Office_Connection_Cache" sheetId="2" state="veryHidden" r:id="rId1"/>
    <sheet name="Rolling Fcst" sheetId="1" r:id="rId2"/>
    <sheet name="Fcst Detail" sheetId="3" r:id="rId3"/>
  </sheets>
  <externalReferences>
    <externalReference r:id="rId4"/>
  </externalReferences>
  <definedNames>
    <definedName name="ID" localSheetId="0" hidden="1">"66323ee4-d945-4689-bdcd-23b36df186d5"</definedName>
    <definedName name="ID" localSheetId="2" hidden="1">"9867f858-8019-4f36-85c8-849f6af8a71b"</definedName>
    <definedName name="ID" localSheetId="1" hidden="1">"0494af27-c5d7-43e4-9372-a17b26f6efee"</definedName>
    <definedName name="organization">[1]TgtVar!$C$13</definedName>
    <definedName name="TM1RPTDATARNG14022269" localSheetId="1">'Rolling Fcst'!$23:$35</definedName>
    <definedName name="TM1RPTFMTIDCOL14022269" localSheetId="1">'Rolling Fcst'!$B$3:$B$12</definedName>
    <definedName name="TM1RPTFMTRNG14022269" localSheetId="1">'Rolling Fcst'!$C$3:$Q$12</definedName>
    <definedName name="TM1RPTQRYRNG14022269" localSheetId="1">'Rolling Fcst'!$C$13</definedName>
    <definedName name="TM1RPTVIEWRNG14022269" localSheetId="1">'Rolling Fcst'!$C$14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3" l="1"/>
  <c r="D12" i="3"/>
  <c r="D5" i="3"/>
  <c r="D16" i="1"/>
  <c r="O5" i="3"/>
  <c r="F5" i="3"/>
  <c r="B12" i="3"/>
  <c r="K5" i="3"/>
  <c r="M5" i="3"/>
  <c r="I5" i="3"/>
  <c r="K8" i="3"/>
  <c r="D29" i="1"/>
  <c r="P8" i="3"/>
  <c r="L8" i="3"/>
  <c r="G8" i="3"/>
  <c r="H8" i="3"/>
  <c r="I8" i="3"/>
  <c r="J8" i="3"/>
  <c r="M8" i="3"/>
  <c r="N8" i="3"/>
  <c r="O8" i="3"/>
  <c r="E8" i="3"/>
  <c r="F8" i="3"/>
  <c r="P7" i="3" l="1"/>
  <c r="M7" i="3"/>
  <c r="N7" i="3"/>
  <c r="O7" i="3"/>
  <c r="K7" i="3"/>
  <c r="L7" i="3"/>
  <c r="G7" i="3"/>
  <c r="F7" i="3"/>
  <c r="H7" i="3"/>
  <c r="E7" i="3"/>
  <c r="I7" i="3"/>
  <c r="J7" i="3"/>
  <c r="D35" i="1"/>
  <c r="D31" i="1"/>
  <c r="D30" i="1"/>
  <c r="D28" i="1"/>
  <c r="D26" i="1"/>
  <c r="D25" i="1"/>
  <c r="D34" i="1"/>
  <c r="D27" i="1"/>
  <c r="D24" i="1"/>
  <c r="D33" i="1"/>
  <c r="D32" i="1"/>
  <c r="H16" i="1"/>
  <c r="B26" i="1"/>
  <c r="B35" i="1"/>
  <c r="B29" i="1"/>
  <c r="B34" i="1"/>
  <c r="B28" i="1"/>
  <c r="B33" i="1"/>
  <c r="B27" i="1"/>
  <c r="B32" i="1"/>
  <c r="B30" i="1"/>
  <c r="B31" i="1"/>
  <c r="B25" i="1"/>
  <c r="B24" i="1"/>
  <c r="B23" i="1"/>
  <c r="G16" i="1"/>
  <c r="F16" i="1"/>
  <c r="E16" i="1"/>
  <c r="C14" i="1"/>
  <c r="C23" i="1"/>
  <c r="D23" i="1" s="1"/>
  <c r="P23" i="1"/>
  <c r="E23" i="1"/>
  <c r="Q23" i="1"/>
  <c r="M23" i="1"/>
  <c r="K23" i="1"/>
  <c r="J23" i="1"/>
  <c r="H23" i="1"/>
  <c r="G23" i="1"/>
  <c r="F23" i="1"/>
  <c r="O23" i="1"/>
  <c r="N23" i="1"/>
  <c r="I23" i="1"/>
  <c r="L23" i="1"/>
  <c r="I28" i="1"/>
  <c r="E30" i="1"/>
  <c r="Q30" i="1"/>
  <c r="O31" i="1"/>
  <c r="M32" i="1"/>
  <c r="K33" i="1"/>
  <c r="I34" i="1"/>
  <c r="G35" i="1"/>
  <c r="J33" i="1"/>
  <c r="E24" i="1"/>
  <c r="Q24" i="1"/>
  <c r="O25" i="1"/>
  <c r="M26" i="1"/>
  <c r="K27" i="1"/>
  <c r="G29" i="1"/>
  <c r="F24" i="1"/>
  <c r="P25" i="1"/>
  <c r="N26" i="1"/>
  <c r="L27" i="1"/>
  <c r="J28" i="1"/>
  <c r="H29" i="1"/>
  <c r="F30" i="1"/>
  <c r="P31" i="1"/>
  <c r="N32" i="1"/>
  <c r="L33" i="1"/>
  <c r="J34" i="1"/>
  <c r="H35" i="1"/>
  <c r="E25" i="1"/>
  <c r="Q25" i="1"/>
  <c r="O26" i="1"/>
  <c r="M27" i="1"/>
  <c r="K28" i="1"/>
  <c r="I29" i="1"/>
  <c r="G30" i="1"/>
  <c r="E31" i="1"/>
  <c r="Q31" i="1"/>
  <c r="O32" i="1"/>
  <c r="M33" i="1"/>
  <c r="K34" i="1"/>
  <c r="I35" i="1"/>
  <c r="J27" i="1"/>
  <c r="H34" i="1"/>
  <c r="H24" i="1"/>
  <c r="N27" i="1"/>
  <c r="N33" i="1"/>
  <c r="G25" i="1"/>
  <c r="E26" i="1"/>
  <c r="Q26" i="1"/>
  <c r="O27" i="1"/>
  <c r="M28" i="1"/>
  <c r="K29" i="1"/>
  <c r="I30" i="1"/>
  <c r="G31" i="1"/>
  <c r="E32" i="1"/>
  <c r="Q32" i="1"/>
  <c r="O33" i="1"/>
  <c r="M34" i="1"/>
  <c r="K35" i="1"/>
  <c r="H28" i="1"/>
  <c r="L28" i="1"/>
  <c r="L26" i="1"/>
  <c r="L32" i="1"/>
  <c r="F25" i="1"/>
  <c r="K24" i="1"/>
  <c r="I25" i="1"/>
  <c r="G26" i="1"/>
  <c r="E27" i="1"/>
  <c r="Q27" i="1"/>
  <c r="O28" i="1"/>
  <c r="M29" i="1"/>
  <c r="K30" i="1"/>
  <c r="I31" i="1"/>
  <c r="G32" i="1"/>
  <c r="E33" i="1"/>
  <c r="Q33" i="1"/>
  <c r="O34" i="1"/>
  <c r="M35" i="1"/>
  <c r="N25" i="1"/>
  <c r="J24" i="1"/>
  <c r="L29" i="1"/>
  <c r="F32" i="1"/>
  <c r="P33" i="1"/>
  <c r="J25" i="1"/>
  <c r="P28" i="1"/>
  <c r="J31" i="1"/>
  <c r="N35" i="1"/>
  <c r="M24" i="1"/>
  <c r="K25" i="1"/>
  <c r="I26" i="1"/>
  <c r="G27" i="1"/>
  <c r="E28" i="1"/>
  <c r="Q28" i="1"/>
  <c r="O29" i="1"/>
  <c r="M30" i="1"/>
  <c r="K31" i="1"/>
  <c r="I32" i="1"/>
  <c r="G33" i="1"/>
  <c r="E34" i="1"/>
  <c r="Q34" i="1"/>
  <c r="O35" i="1"/>
  <c r="F29" i="1"/>
  <c r="P30" i="1"/>
  <c r="F35" i="1"/>
  <c r="P26" i="1"/>
  <c r="H30" i="1"/>
  <c r="P32" i="1"/>
  <c r="J35" i="1"/>
  <c r="F26" i="1"/>
  <c r="N28" i="1"/>
  <c r="J30" i="1"/>
  <c r="N34" i="1"/>
  <c r="H26" i="1"/>
  <c r="L30" i="1"/>
  <c r="F33" i="1"/>
  <c r="N24" i="1"/>
  <c r="L25" i="1"/>
  <c r="J26" i="1"/>
  <c r="H27" i="1"/>
  <c r="F28" i="1"/>
  <c r="P29" i="1"/>
  <c r="N30" i="1"/>
  <c r="L31" i="1"/>
  <c r="J32" i="1"/>
  <c r="H33" i="1"/>
  <c r="F34" i="1"/>
  <c r="P35" i="1"/>
  <c r="P24" i="1"/>
  <c r="N31" i="1"/>
  <c r="G24" i="1"/>
  <c r="J29" i="1"/>
  <c r="F31" i="1"/>
  <c r="L34" i="1"/>
  <c r="I24" i="1"/>
  <c r="H25" i="1"/>
  <c r="P27" i="1"/>
  <c r="H31" i="1"/>
  <c r="L35" i="1"/>
  <c r="L24" i="1"/>
  <c r="F27" i="1"/>
  <c r="N29" i="1"/>
  <c r="H32" i="1"/>
  <c r="P34" i="1"/>
  <c r="O24" i="1"/>
  <c r="M25" i="1"/>
  <c r="K26" i="1"/>
  <c r="I27" i="1"/>
  <c r="G28" i="1"/>
  <c r="E29" i="1"/>
  <c r="Q29" i="1"/>
  <c r="O30" i="1"/>
  <c r="M31" i="1"/>
  <c r="K32" i="1"/>
  <c r="I33" i="1"/>
  <c r="G34" i="1"/>
  <c r="E35" i="1"/>
  <c r="Q35" i="1"/>
  <c r="E19" i="1"/>
  <c r="O19" i="1"/>
  <c r="J19" i="1"/>
  <c r="I19" i="1"/>
  <c r="L19" i="1"/>
  <c r="H19" i="1"/>
  <c r="N19" i="1"/>
  <c r="K19" i="1"/>
  <c r="G19" i="1"/>
  <c r="P19" i="1"/>
  <c r="M19" i="1"/>
  <c r="F19" i="1"/>
  <c r="E1" i="3" l="1"/>
  <c r="H18" i="1"/>
  <c r="J18" i="1"/>
  <c r="M18" i="1"/>
  <c r="E18" i="1"/>
  <c r="G18" i="1"/>
  <c r="I18" i="1"/>
  <c r="N18" i="1"/>
  <c r="O18" i="1"/>
  <c r="F18" i="1"/>
  <c r="K18" i="1"/>
  <c r="L18" i="1"/>
  <c r="P18" i="1"/>
  <c r="F13" i="3"/>
  <c r="G12" i="3"/>
  <c r="J11" i="3"/>
  <c r="J13" i="3"/>
  <c r="L11" i="3"/>
  <c r="Q13" i="3"/>
  <c r="E13" i="3"/>
  <c r="I11" i="3"/>
  <c r="L13" i="3"/>
  <c r="N11" i="3"/>
  <c r="H13" i="3"/>
  <c r="P13" i="3"/>
  <c r="Q12" i="3"/>
  <c r="E12" i="3"/>
  <c r="H11" i="3"/>
  <c r="O12" i="3"/>
  <c r="E11" i="3"/>
  <c r="P11" i="3"/>
  <c r="O11" i="3"/>
  <c r="K12" i="3"/>
  <c r="J12" i="3"/>
  <c r="O13" i="3"/>
  <c r="P12" i="3"/>
  <c r="G11" i="3"/>
  <c r="N13" i="3"/>
  <c r="N12" i="3"/>
  <c r="Q11" i="3"/>
  <c r="M12" i="3"/>
  <c r="L12" i="3"/>
  <c r="M11" i="3"/>
  <c r="F11" i="3"/>
  <c r="K13" i="3"/>
  <c r="I13" i="3"/>
  <c r="G13" i="3"/>
  <c r="M13" i="3"/>
  <c r="H12" i="3"/>
  <c r="K11" i="3"/>
  <c r="I12" i="3"/>
  <c r="M14" i="3" l="1"/>
  <c r="G14" i="3"/>
  <c r="I14" i="3"/>
  <c r="K14" i="3"/>
  <c r="N14" i="3"/>
  <c r="O14" i="3"/>
  <c r="P14" i="3"/>
  <c r="H14" i="3"/>
  <c r="L14" i="3"/>
  <c r="E14" i="3"/>
  <c r="Q14" i="3"/>
  <c r="J14" i="3"/>
  <c r="F14" i="3"/>
</calcChain>
</file>

<file path=xl/sharedStrings.xml><?xml version="1.0" encoding="utf-8"?>
<sst xmlns="http://schemas.openxmlformats.org/spreadsheetml/2006/main" count="75" uniqueCount="47">
  <si>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</si>
  <si>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</si>
  <si>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</si>
  <si>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</si>
  <si>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</si>
  <si>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</si>
  <si>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</si>
  <si>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</si>
  <si>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</si>
  <si>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</si>
  <si>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</si>
  <si>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</si>
  <si>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</si>
  <si>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5999 Cost of Sales</t>
  </si>
  <si>
    <t>Gross Margin</t>
  </si>
  <si>
    <t>6099 PAYROLL</t>
  </si>
  <si>
    <t>6199 OFFICE EXPENSE</t>
  </si>
  <si>
    <t>6299 TRAVEL</t>
  </si>
  <si>
    <t>6399 OCCUPANCY</t>
  </si>
  <si>
    <t>6499 MARKETING</t>
  </si>
  <si>
    <t>6599 DEPRECIATION</t>
  </si>
  <si>
    <t>Total Operating Expense</t>
  </si>
  <si>
    <t>Net Profit</t>
  </si>
  <si>
    <t>6699 ALLOCATIONS</t>
  </si>
  <si>
    <t>Net Profit After Allocations</t>
  </si>
  <si>
    <t>[Begin Format Range]</t>
  </si>
  <si>
    <t>Default</t>
  </si>
  <si>
    <t>Leaf</t>
  </si>
  <si>
    <t>[End Format Range]</t>
  </si>
  <si>
    <t>Element Name</t>
  </si>
  <si>
    <t>{EXCEPT(TM1SubsetToSet([Account].[Account] , "Default" , "public") , {[Account].[Account].[Statistics]})}</t>
  </si>
  <si>
    <t>organization</t>
  </si>
  <si>
    <t>Currency Calc</t>
  </si>
  <si>
    <t>Version</t>
  </si>
  <si>
    <t>Fcst Period</t>
  </si>
  <si>
    <t>Act/Fcst:</t>
  </si>
  <si>
    <t>Fcst Method</t>
  </si>
  <si>
    <t>Budget</t>
  </si>
  <si>
    <t>CUBE:</t>
  </si>
  <si>
    <t>Organization</t>
  </si>
  <si>
    <t>Account</t>
  </si>
  <si>
    <t>Currency</t>
  </si>
  <si>
    <t>($000)</t>
  </si>
  <si>
    <t>Prior Year Actual</t>
  </si>
  <si>
    <t>Actual</t>
  </si>
  <si>
    <t>Forecast</t>
  </si>
  <si>
    <t>Var to 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</si>
</sst>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\+\ @"/>
    <numFmt numFmtId="171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theme="0" tint="-0.499984740745262"/>
      <name val="Arial"/>
      <family val="2"/>
    </font>
    <font>
      <sz val="11"/>
      <color indexed="9"/>
      <name val="Arial"/>
      <family val="2"/>
    </font>
    <font>
      <b/>
      <sz val="11"/>
      <color rgb="FF8BC43F"/>
      <name val="Arial"/>
      <family val="2"/>
    </font>
    <font>
      <b/>
      <sz val="11"/>
      <color theme="1" tint="0.499984740745262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</fills>
  <borders count="13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Protection="0">
      <alignment horizontal="center" vertical="center"/>
    </xf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>
      <alignment horizontal="right" vertical="center"/>
    </xf>
    <xf numFmtId="3" fontId="3" fillId="2" borderId="2">
      <alignment horizontal="center" vertical="center"/>
    </xf>
    <xf numFmtId="0" fontId="3" fillId="2" borderId="2">
      <alignment horizontal="right" vertical="center"/>
    </xf>
    <xf numFmtId="0" fontId="2" fillId="0" borderId="3">
      <alignment horizontal="left" vertical="center"/>
    </xf>
    <xf numFmtId="0" fontId="2" fillId="0" borderId="4">
      <alignment horizontal="center" vertical="center"/>
    </xf>
    <xf numFmtId="0" fontId="4" fillId="0" borderId="5">
      <alignment horizontal="center" vertical="center"/>
    </xf>
    <xf numFmtId="0" fontId="3" fillId="3" borderId="2"/>
    <xf numFmtId="3" fontId="5" fillId="0" borderId="2"/>
    <xf numFmtId="3" fontId="6" fillId="0" borderId="2"/>
    <xf numFmtId="0" fontId="2" fillId="0" borderId="4">
      <alignment horizontal="left" vertical="top"/>
    </xf>
    <xf numFmtId="0" fontId="7" fillId="0" borderId="2"/>
    <xf numFmtId="0" fontId="2" fillId="0" borderId="4">
      <alignment horizontal="left" vertical="center"/>
    </xf>
    <xf numFmtId="0" fontId="3" fillId="2" borderId="6"/>
    <xf numFmtId="3" fontId="3" fillId="0" borderId="2">
      <alignment horizontal="right" vertical="center"/>
    </xf>
    <xf numFmtId="0" fontId="2" fillId="0" borderId="4">
      <alignment horizontal="right" vertical="center"/>
    </xf>
    <xf numFmtId="0" fontId="3" fillId="0" borderId="5">
      <alignment horizontal="center" vertical="center"/>
    </xf>
    <xf numFmtId="3" fontId="3" fillId="0" borderId="2"/>
    <xf numFmtId="3" fontId="3" fillId="0" borderId="2"/>
    <xf numFmtId="0" fontId="3" fillId="0" borderId="5">
      <alignment horizontal="center" vertical="center" wrapText="1"/>
    </xf>
    <xf numFmtId="0" fontId="8" fillId="0" borderId="5">
      <alignment horizontal="left" vertical="center" indent="1"/>
    </xf>
    <xf numFmtId="0" fontId="9" fillId="0" borderId="2"/>
    <xf numFmtId="0" fontId="2" fillId="0" borderId="3">
      <alignment horizontal="left" vertical="center"/>
    </xf>
    <xf numFmtId="3" fontId="3" fillId="0" borderId="2">
      <alignment horizontal="center" vertical="center"/>
    </xf>
    <xf numFmtId="0" fontId="2" fillId="0" borderId="4">
      <alignment horizontal="center" vertical="center"/>
    </xf>
    <xf numFmtId="0" fontId="2" fillId="0" borderId="4">
      <alignment horizontal="center" vertical="center"/>
    </xf>
    <xf numFmtId="0" fontId="2" fillId="0" borderId="3">
      <alignment horizontal="left" vertical="center"/>
    </xf>
    <xf numFmtId="0" fontId="2" fillId="0" borderId="3">
      <alignment horizontal="left" vertical="center"/>
    </xf>
    <xf numFmtId="0" fontId="10" fillId="0" borderId="2"/>
  </cellStyleXfs>
  <cellXfs count="62">
    <xf numFmtId="0" fontId="0" fillId="0" borderId="0" xfId="0"/>
    <xf numFmtId="0" fontId="0" fillId="0" borderId="0" xfId="0" quotePrefix="1"/>
    <xf numFmtId="0" fontId="3" fillId="0" borderId="0" xfId="20" applyNumberFormat="1"/>
    <xf numFmtId="0" fontId="2" fillId="0" borderId="1" xfId="12" applyNumberFormat="1"/>
    <xf numFmtId="3" fontId="3" fillId="0" borderId="2" xfId="4"/>
    <xf numFmtId="0" fontId="3" fillId="0" borderId="0" xfId="21" applyNumberFormat="1"/>
    <xf numFmtId="0" fontId="2" fillId="0" borderId="1" xfId="13" applyNumberFormat="1"/>
    <xf numFmtId="3" fontId="3" fillId="0" borderId="2" xfId="5"/>
    <xf numFmtId="0" fontId="3" fillId="0" borderId="0" xfId="22" applyNumberFormat="1"/>
    <xf numFmtId="0" fontId="2" fillId="0" borderId="1" xfId="14" applyNumberFormat="1"/>
    <xf numFmtId="3" fontId="3" fillId="0" borderId="2" xfId="6"/>
    <xf numFmtId="0" fontId="3" fillId="0" borderId="0" xfId="23" applyNumberFormat="1"/>
    <xf numFmtId="0" fontId="2" fillId="0" borderId="1" xfId="15" applyNumberFormat="1"/>
    <xf numFmtId="3" fontId="3" fillId="0" borderId="2" xfId="7"/>
    <xf numFmtId="0" fontId="3" fillId="0" borderId="0" xfId="24" applyNumberFormat="1" applyBorder="1"/>
    <xf numFmtId="0" fontId="2" fillId="0" borderId="1" xfId="16" applyNumberFormat="1"/>
    <xf numFmtId="3" fontId="3" fillId="0" borderId="2" xfId="8"/>
    <xf numFmtId="0" fontId="3" fillId="0" borderId="0" xfId="25" applyNumberFormat="1" applyBorder="1"/>
    <xf numFmtId="0" fontId="2" fillId="0" borderId="1" xfId="17" applyNumberFormat="1"/>
    <xf numFmtId="3" fontId="3" fillId="0" borderId="2" xfId="9"/>
    <xf numFmtId="0" fontId="3" fillId="0" borderId="0" xfId="19" quotePrefix="1" applyNumberFormat="1"/>
    <xf numFmtId="0" fontId="3" fillId="0" borderId="0" xfId="19" applyNumberFormat="1"/>
    <xf numFmtId="0" fontId="2" fillId="0" borderId="1" xfId="11" applyNumberFormat="1"/>
    <xf numFmtId="3" fontId="3" fillId="0" borderId="2" xfId="3"/>
    <xf numFmtId="0" fontId="3" fillId="0" borderId="0" xfId="26" quotePrefix="1" applyNumberFormat="1" applyBorder="1"/>
    <xf numFmtId="0" fontId="3" fillId="0" borderId="0" xfId="26" applyNumberFormat="1" applyBorder="1"/>
    <xf numFmtId="0" fontId="2" fillId="0" borderId="1" xfId="18" applyNumberFormat="1"/>
    <xf numFmtId="3" fontId="3" fillId="0" borderId="2" xfId="10"/>
    <xf numFmtId="0" fontId="2" fillId="0" borderId="1" xfId="2" quotePrefix="1">
      <alignment horizontal="center" vertical="center"/>
    </xf>
    <xf numFmtId="49" fontId="2" fillId="0" borderId="1" xfId="18" applyNumberFormat="1" applyAlignment="1"/>
    <xf numFmtId="165" fontId="2" fillId="0" borderId="1" xfId="12" applyNumberFormat="1" applyAlignment="1"/>
    <xf numFmtId="0" fontId="3" fillId="4" borderId="2" xfId="28" quotePrefix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2" fillId="0" borderId="9" xfId="2" quotePrefix="1" applyBorder="1">
      <alignment horizontal="center" vertical="center"/>
    </xf>
    <xf numFmtId="0" fontId="3" fillId="0" borderId="8" xfId="28" quotePrefix="1" applyBorder="1"/>
    <xf numFmtId="0" fontId="3" fillId="0" borderId="10" xfId="27" applyBorder="1" applyAlignment="1">
      <alignment horizontal="center"/>
    </xf>
    <xf numFmtId="0" fontId="3" fillId="0" borderId="0" xfId="28" quotePrefix="1" applyBorder="1"/>
    <xf numFmtId="0" fontId="3" fillId="0" borderId="5" xfId="27" applyBorder="1" applyAlignment="1">
      <alignment horizontal="center"/>
    </xf>
    <xf numFmtId="3" fontId="3" fillId="5" borderId="2" xfId="4" applyFill="1"/>
    <xf numFmtId="3" fontId="3" fillId="5" borderId="2" xfId="5" applyFill="1"/>
    <xf numFmtId="3" fontId="3" fillId="5" borderId="2" xfId="6" applyFill="1"/>
    <xf numFmtId="3" fontId="3" fillId="5" borderId="2" xfId="7" applyFill="1"/>
    <xf numFmtId="3" fontId="3" fillId="5" borderId="2" xfId="8" applyFill="1"/>
    <xf numFmtId="3" fontId="3" fillId="5" borderId="2" xfId="9" applyFill="1"/>
    <xf numFmtId="3" fontId="3" fillId="5" borderId="2" xfId="3" applyFill="1"/>
    <xf numFmtId="3" fontId="3" fillId="5" borderId="2" xfId="10" applyFill="1"/>
    <xf numFmtId="0" fontId="12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6" borderId="0" xfId="0" applyFont="1" applyFill="1" applyAlignment="1">
      <alignment vertical="center"/>
    </xf>
    <xf numFmtId="49" fontId="14" fillId="5" borderId="0" xfId="0" applyNumberFormat="1" applyFont="1" applyFill="1" applyAlignment="1">
      <alignment horizontal="center" vertical="center"/>
    </xf>
    <xf numFmtId="49" fontId="14" fillId="5" borderId="7" xfId="0" applyNumberFormat="1" applyFont="1" applyFill="1" applyBorder="1" applyAlignment="1">
      <alignment horizontal="center" vertical="center"/>
    </xf>
    <xf numFmtId="49" fontId="14" fillId="5" borderId="1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7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6" fillId="8" borderId="12" xfId="0" applyNumberFormat="1" applyFont="1" applyFill="1" applyBorder="1" applyAlignment="1">
      <alignment horizontal="left" vertical="center" indent="1"/>
    </xf>
    <xf numFmtId="49" fontId="18" fillId="0" borderId="0" xfId="0" applyNumberFormat="1" applyFont="1" applyAlignment="1">
      <alignment horizontal="left" vertical="center" indent="1"/>
    </xf>
    <xf numFmtId="171" fontId="19" fillId="0" borderId="0" xfId="1" applyNumberFormat="1" applyFont="1" applyFill="1" applyBorder="1"/>
    <xf numFmtId="171" fontId="14" fillId="0" borderId="0" xfId="1" applyNumberFormat="1" applyFont="1" applyFill="1" applyBorder="1"/>
    <xf numFmtId="0" fontId="18" fillId="0" borderId="0" xfId="0" applyNumberFormat="1" applyFont="1" applyAlignment="1">
      <alignment horizontal="left" vertical="center" indent="1"/>
    </xf>
  </cellXfs>
  <cellStyles count="57">
    <cellStyle name="AF Column - IBM Cognos" xfId="2" xr:uid="{91D9C04A-A4ED-40EF-95DC-7140EFCAC238}"/>
    <cellStyle name="AF Data - IBM Cognos" xfId="3" xr:uid="{802AE523-29F4-4E09-87D7-4D5280E66ED2}"/>
    <cellStyle name="AF Data 0 - IBM Cognos" xfId="4" xr:uid="{1BFF7B6E-CFE3-474A-9884-243CF2E189F1}"/>
    <cellStyle name="AF Data 1 - IBM Cognos" xfId="5" xr:uid="{DE51C965-9745-436C-BBE6-A6B1337F2A43}"/>
    <cellStyle name="AF Data 2 - IBM Cognos" xfId="6" xr:uid="{04A04EEF-E152-489C-B577-EC6B153EAF2A}"/>
    <cellStyle name="AF Data 3 - IBM Cognos" xfId="7" xr:uid="{BA6BC1BC-2F75-4222-BE71-320C52880838}"/>
    <cellStyle name="AF Data 4 - IBM Cognos" xfId="8" xr:uid="{BEE60CBE-2465-4818-94FE-BC311F4B3053}"/>
    <cellStyle name="AF Data 5 - IBM Cognos" xfId="9" xr:uid="{4758A67A-E7C9-4FFE-A8B2-BEDD643ECDF9}"/>
    <cellStyle name="AF Data Leaf - IBM Cognos" xfId="10" xr:uid="{03ABC2ED-023B-43AD-BDA2-99449238183F}"/>
    <cellStyle name="AF Header - IBM Cognos" xfId="11" xr:uid="{C8120D41-B36F-4004-925D-5BA522B68050}"/>
    <cellStyle name="AF Header 0 - IBM Cognos" xfId="12" xr:uid="{E3CB81F5-FD85-4D97-97F4-90E099F93711}"/>
    <cellStyle name="AF Header 1 - IBM Cognos" xfId="13" xr:uid="{D939479C-581F-410E-88C6-66A8F3E6EED8}"/>
    <cellStyle name="AF Header 2 - IBM Cognos" xfId="14" xr:uid="{61A6B06C-20EC-42FF-8F02-CB5AB9E7C566}"/>
    <cellStyle name="AF Header 3 - IBM Cognos" xfId="15" xr:uid="{100837B8-0A02-490F-BEBD-C0FC79061545}"/>
    <cellStyle name="AF Header 4 - IBM Cognos" xfId="16" xr:uid="{0B6198BB-DE1F-473A-B049-809CA332E9C9}"/>
    <cellStyle name="AF Header 5 - IBM Cognos" xfId="17" xr:uid="{D8D947DD-6B34-4772-A6E2-A09741EFC3CD}"/>
    <cellStyle name="AF Header Leaf - IBM Cognos" xfId="18" xr:uid="{F8D9171A-1584-4A6D-9B8E-52BAB3DACB08}"/>
    <cellStyle name="AF Row - IBM Cognos" xfId="19" xr:uid="{E2A9DBC5-39D6-471B-AA18-B139625A747A}"/>
    <cellStyle name="AF Row 0 - IBM Cognos" xfId="20" xr:uid="{5F4389DE-803C-4E49-A959-04F9723617F8}"/>
    <cellStyle name="AF Row 1 - IBM Cognos" xfId="21" xr:uid="{8506017C-346D-4397-8E6D-56DB68310673}"/>
    <cellStyle name="AF Row 2 - IBM Cognos" xfId="22" xr:uid="{9D333EB7-DAA5-489E-B8CF-A3854BAB9BFC}"/>
    <cellStyle name="AF Row 3 - IBM Cognos" xfId="23" xr:uid="{50A3D9BD-8467-43E2-981A-6F4B657C9892}"/>
    <cellStyle name="AF Row 4 - IBM Cognos" xfId="24" xr:uid="{1EFA1018-249B-42F4-A28E-74C9410D88E1}"/>
    <cellStyle name="AF Row 5 - IBM Cognos" xfId="25" xr:uid="{9A289A4D-3797-4490-93AD-3BEC34F61E43}"/>
    <cellStyle name="AF Row Leaf - IBM Cognos" xfId="26" xr:uid="{2F3EB757-F555-4CA7-83E5-716EC74E5716}"/>
    <cellStyle name="AF Subnm - IBM Cognos" xfId="27" xr:uid="{2D46918B-8BF8-4182-8789-A2AD9876CE98}"/>
    <cellStyle name="AF Title - IBM Cognos" xfId="28" xr:uid="{FDDEDBAA-C353-453A-A6F2-DBDB588E9D08}"/>
    <cellStyle name="Calculated Column - IBM Cognos" xfId="29" xr:uid="{1F100F57-B1FA-4B9A-AA4C-48FA02E342D6}"/>
    <cellStyle name="Calculated Column Name - IBM Cognos" xfId="30" xr:uid="{7F63F5CD-3F1C-4C64-9822-11D7ED43AC2F}"/>
    <cellStyle name="Calculated Row - IBM Cognos" xfId="31" xr:uid="{38B16B69-7C06-4A0D-A95D-0AA49406DAA4}"/>
    <cellStyle name="Calculated Row Name - IBM Cognos" xfId="32" xr:uid="{DB92FFD4-ED58-4EE8-A470-448F02173613}"/>
    <cellStyle name="Column Name - IBM Cognos" xfId="33" xr:uid="{7B9E7BDC-0BE1-43DD-8DE2-2E6EF0D76503}"/>
    <cellStyle name="Column Template - IBM Cognos" xfId="34" xr:uid="{C4CCEBC0-8F0B-4699-AA5B-17A596EB5F89}"/>
    <cellStyle name="Comma" xfId="1" builtinId="3"/>
    <cellStyle name="Differs From Base - IBM Cognos" xfId="35" xr:uid="{C3E294A9-F6D0-4B53-A45C-C96999CFB247}"/>
    <cellStyle name="Edit - IBM Cognos" xfId="36" xr:uid="{FB83C01F-A5B8-40F1-B5A9-76F265CE836F}"/>
    <cellStyle name="Formula - IBM Cognos" xfId="37" xr:uid="{064E5AEC-86E6-4884-AC17-BCC2684F3C71}"/>
    <cellStyle name="Group Name - IBM Cognos" xfId="38" xr:uid="{4E90BB10-94B4-4C41-9B26-B41DABCE96FE}"/>
    <cellStyle name="Hold Values - IBM Cognos" xfId="39" xr:uid="{9A0A30C9-94AD-4978-9077-9F5C40D487B5}"/>
    <cellStyle name="List Name - IBM Cognos" xfId="40" xr:uid="{8B45349A-96B9-4AA5-A182-AF603FD62466}"/>
    <cellStyle name="Locked - IBM Cognos" xfId="41" xr:uid="{7FFCBEB1-7D46-4A5A-912A-362803E7F292}"/>
    <cellStyle name="Measure - IBM Cognos" xfId="42" xr:uid="{4B12B795-A406-47EF-917F-54C94EB5C2E9}"/>
    <cellStyle name="Measure Header - IBM Cognos" xfId="43" xr:uid="{B9D09177-0437-4C08-83D2-ED2AE2749D1D}"/>
    <cellStyle name="Measure Name - IBM Cognos" xfId="44" xr:uid="{42D76E0A-4013-42B1-8FB7-EBA4C93130B7}"/>
    <cellStyle name="Measure Summary - IBM Cognos" xfId="45" xr:uid="{F25FDE87-9D43-4FA4-AD0E-739FA30A1913}"/>
    <cellStyle name="Measure Summary TM1 - IBM Cognos" xfId="46" xr:uid="{F584B2A1-5DF0-42AB-932D-D06A551E9CC7}"/>
    <cellStyle name="Measure Template - IBM Cognos" xfId="47" xr:uid="{FBDFC27B-9FFF-47C3-9369-54FEC9336F5D}"/>
    <cellStyle name="More - IBM Cognos" xfId="48" xr:uid="{EBC624EB-A8F7-438B-9D46-C4F9F0D2EC4E}"/>
    <cellStyle name="Normal" xfId="0" builtinId="0" customBuiltin="1"/>
    <cellStyle name="Pending Change - IBM Cognos" xfId="49" xr:uid="{95381F6A-96FB-4EF5-804B-16974FFA7D6A}"/>
    <cellStyle name="Row Name - IBM Cognos" xfId="50" xr:uid="{E609C777-DDDB-42D4-8C6D-7FBE8C5C9C6B}"/>
    <cellStyle name="Row Template - IBM Cognos" xfId="51" xr:uid="{F24BF150-0E5D-4CA9-8E16-26B4F61D328F}"/>
    <cellStyle name="Summary Column Name - IBM Cognos" xfId="52" xr:uid="{92F9C958-639C-432A-9DA7-12B0F9253886}"/>
    <cellStyle name="Summary Column Name TM1 - IBM Cognos" xfId="53" xr:uid="{35BF7732-E1CB-45ED-9645-4D987F155DF6}"/>
    <cellStyle name="Summary Row Name - IBM Cognos" xfId="54" xr:uid="{675AE190-1389-41AA-9BF1-C121DEA3ED4A}"/>
    <cellStyle name="Summary Row Name TM1 - IBM Cognos" xfId="55" xr:uid="{307C9E69-3590-44F9-81F9-9BC0B0E5329D}"/>
    <cellStyle name="Unsaved Change - IBM Cognos" xfId="56" xr:uid="{F9317693-116F-454F-AE38-1DF9D00A7B67}"/>
  </cellStyles>
  <dxfs count="5">
    <dxf>
      <fill>
        <patternFill patternType="solid">
          <fgColor auto="1"/>
          <bgColor rgb="FFF3AB40"/>
        </patternFill>
      </fill>
    </dxf>
    <dxf>
      <fill>
        <patternFill>
          <bgColor rgb="FF8BC43F"/>
        </patternFill>
      </fill>
    </dxf>
    <dxf>
      <fill>
        <patternFill>
          <bgColor indexed="50"/>
        </patternFill>
      </fill>
    </dxf>
    <dxf>
      <fill>
        <patternFill>
          <bgColor indexed="21"/>
        </patternFill>
      </fill>
    </dxf>
    <dxf>
      <fill>
        <patternFill>
          <bgColor indexed="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'Fcst Detail'!$D$11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3AB40"/>
            </a:solidFill>
            <a:ln w="25400">
              <a:noFill/>
            </a:ln>
          </c:spPr>
          <c:invertIfNegative val="0"/>
          <c:cat>
            <c:strRef>
              <c:f>'Fcst Detail'!$E$9:$P$9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'Fcst Detail'!$E$11:$P$11</c:f>
              <c:numCache>
                <c:formatCode>_(* #,##0_);_(* \(#,##0\);_(* "-"??_);_(@_)</c:formatCode>
                <c:ptCount val="12"/>
                <c:pt idx="0">
                  <c:v>531437.3442587977</c:v>
                </c:pt>
                <c:pt idx="1">
                  <c:v>541894.44671879767</c:v>
                </c:pt>
                <c:pt idx="2">
                  <c:v>544845.23230309191</c:v>
                </c:pt>
                <c:pt idx="3">
                  <c:v>551155.52251474222</c:v>
                </c:pt>
                <c:pt idx="4">
                  <c:v>540515.03850384825</c:v>
                </c:pt>
                <c:pt idx="5">
                  <c:v>548671.01639837259</c:v>
                </c:pt>
                <c:pt idx="6">
                  <c:v>548218.66164635099</c:v>
                </c:pt>
                <c:pt idx="7">
                  <c:v>575260.815202681</c:v>
                </c:pt>
                <c:pt idx="8">
                  <c:v>543623.46230140422</c:v>
                </c:pt>
                <c:pt idx="9">
                  <c:v>567707.88973742444</c:v>
                </c:pt>
                <c:pt idx="10">
                  <c:v>619584.34911138203</c:v>
                </c:pt>
                <c:pt idx="11">
                  <c:v>708212.97856140463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AA-464F-A0C9-20DA3D5F847C}"/>
            </c:ext>
          </c:extLst>
        </c:ser>
        <c:ser>
          <c:idx val="2"/>
          <c:order val="2"/>
          <c:tx>
            <c:strRef>
              <c:f>'Fcst Detail'!$D$12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296DF"/>
            </a:solidFill>
            <a:ln w="25400">
              <a:noFill/>
            </a:ln>
          </c:spPr>
          <c:invertIfNegative val="0"/>
          <c:cat>
            <c:strRef>
              <c:f>'Fcst Detail'!$E$9:$P$9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'Fcst Detail'!$E$12:$P$12</c:f>
              <c:numCache>
                <c:formatCode>_(* #,##0_);_(* \(#,##0\);_(* "-"??_);_(@_)</c:formatCode>
                <c:ptCount val="12"/>
                <c:pt idx="0">
                  <c:v>726148.63770119241</c:v>
                </c:pt>
                <c:pt idx="1">
                  <c:v>895406.69837893033</c:v>
                </c:pt>
                <c:pt idx="2">
                  <c:v>783796.73576040834</c:v>
                </c:pt>
                <c:pt idx="3">
                  <c:v>795693.33285196859</c:v>
                </c:pt>
                <c:pt idx="4">
                  <c:v>845686.9850642751</c:v>
                </c:pt>
                <c:pt idx="5">
                  <c:v>828780.43890613061</c:v>
                </c:pt>
                <c:pt idx="6">
                  <c:v>847480.91340747732</c:v>
                </c:pt>
                <c:pt idx="7">
                  <c:v>856515.64283646457</c:v>
                </c:pt>
                <c:pt idx="8">
                  <c:v>877665.84380563442</c:v>
                </c:pt>
                <c:pt idx="9">
                  <c:v>1001742.0959066264</c:v>
                </c:pt>
                <c:pt idx="10">
                  <c:v>1019524.8719283346</c:v>
                </c:pt>
                <c:pt idx="11">
                  <c:v>1060085.1202257243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AA-464F-A0C9-20DA3D5F847C}"/>
            </c:ext>
          </c:extLst>
        </c:ser>
        <c:ser>
          <c:idx val="3"/>
          <c:order val="3"/>
          <c:tx>
            <c:strRef>
              <c:f>'Fcst Detail'!$D$13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8BC43F"/>
            </a:solidFill>
            <a:ln w="25400">
              <a:noFill/>
            </a:ln>
          </c:spPr>
          <c:invertIfNegative val="0"/>
          <c:cat>
            <c:strRef>
              <c:f>'Fcst Detail'!$E$9:$P$9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'Fcst Detail'!$E$13:$P$13</c:f>
              <c:numCache>
                <c:formatCode>_(* #,##0_);_(* \(#,##0\);_(* "-"??_);_(@_)</c:formatCode>
                <c:ptCount val="12"/>
                <c:pt idx="0">
                  <c:v>531437.3442587977</c:v>
                </c:pt>
                <c:pt idx="1">
                  <c:v>736412.1641377972</c:v>
                </c:pt>
                <c:pt idx="2">
                  <c:v>739347.80648148549</c:v>
                </c:pt>
                <c:pt idx="3">
                  <c:v>741110.94882517355</c:v>
                </c:pt>
                <c:pt idx="4">
                  <c:v>750378.86666090076</c:v>
                </c:pt>
                <c:pt idx="5">
                  <c:v>753760.60900458891</c:v>
                </c:pt>
                <c:pt idx="6">
                  <c:v>760624.2268403162</c:v>
                </c:pt>
                <c:pt idx="7">
                  <c:v>769055.23701973155</c:v>
                </c:pt>
                <c:pt idx="8">
                  <c:v>846980.80485545879</c:v>
                </c:pt>
                <c:pt idx="9">
                  <c:v>857724.70485545893</c:v>
                </c:pt>
                <c:pt idx="10">
                  <c:v>862436.57637505606</c:v>
                </c:pt>
                <c:pt idx="11">
                  <c:v>950697.78731383849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6AA-464F-A0C9-20DA3D5F8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1960064"/>
        <c:axId val="6172167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'Fcst Detail'!$D$10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'Fcst Detail'!$E$9:$P$9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'Fcst Detail'!$E$10:$P$10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6AA-464F-A0C9-20DA3D5F847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'Fcst Detail'!$D$14</c15:sqref>
                        </c15:formulaRef>
                      </c:ext>
                    </c:extLst>
                    <c:strCache>
                      <c:ptCount val="1"/>
                      <c:pt idx="0">
                        <c:v>Var to Bud</c:v>
                      </c:pt>
                    </c:strCache>
                  </c:strRef>
                </c:tx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'Fcst Detail'!$E$9:$P$9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'Fcst Detail'!$E$14:$P$14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  <c:pt idx="0">
                        <c:v>-194711.2934423947</c:v>
                      </c:pt>
                      <c:pt idx="1">
                        <c:v>-158994.53424113314</c:v>
                      </c:pt>
                      <c:pt idx="2">
                        <c:v>-44448.929278922849</c:v>
                      </c:pt>
                      <c:pt idx="3">
                        <c:v>-54582.384026795044</c:v>
                      </c:pt>
                      <c:pt idx="4">
                        <c:v>-95308.118403374334</c:v>
                      </c:pt>
                      <c:pt idx="5">
                        <c:v>-75019.8299015417</c:v>
                      </c:pt>
                      <c:pt idx="6">
                        <c:v>-86856.686567161116</c:v>
                      </c:pt>
                      <c:pt idx="7">
                        <c:v>-87460.405816733022</c:v>
                      </c:pt>
                      <c:pt idx="8">
                        <c:v>-30685.038950175629</c:v>
                      </c:pt>
                      <c:pt idx="9">
                        <c:v>-144017.39105116751</c:v>
                      </c:pt>
                      <c:pt idx="10">
                        <c:v>-157088.29555327853</c:v>
                      </c:pt>
                      <c:pt idx="11">
                        <c:v>-109387.33291188581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F6AA-464F-A0C9-20DA3D5F847C}"/>
                  </c:ext>
                </c:extLst>
              </c15:ser>
            </c15:filteredBarSeries>
          </c:ext>
        </c:extLst>
      </c:barChart>
      <c:catAx>
        <c:axId val="67196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1" i="0" baseline="0">
                <a:solidFill>
                  <a:srgbClr val="7F7F7F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617216768"/>
        <c:crosses val="autoZero"/>
        <c:auto val="1"/>
        <c:lblAlgn val="ctr"/>
        <c:lblOffset val="100"/>
        <c:noMultiLvlLbl val="0"/>
      </c:catAx>
      <c:valAx>
        <c:axId val="6172167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solidFill>
              <a:srgbClr val="7F7F7F"/>
            </a:solidFill>
          </a:ln>
        </c:spPr>
        <c:txPr>
          <a:bodyPr/>
          <a:lstStyle/>
          <a:p>
            <a:pPr>
              <a:defRPr sz="800" b="1" i="0" baseline="0">
                <a:solidFill>
                  <a:srgbClr val="7F7F7F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671960064"/>
        <c:crosses val="autoZero"/>
        <c:crossBetween val="between"/>
        <c:majorUnit val="200000"/>
      </c:valAx>
      <c:spPr>
        <a:noFill/>
      </c:spPr>
    </c:plotArea>
    <c:legend>
      <c:legendPos val="r"/>
      <c:overlay val="0"/>
      <c:txPr>
        <a:bodyPr/>
        <a:lstStyle/>
        <a:p>
          <a:pPr algn="ctr">
            <a:defRPr lang="en-US" sz="800" b="1" i="0" u="none" strike="noStrike" kern="1200" baseline="0">
              <a:solidFill>
                <a:srgbClr val="7F7F7F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</xdr:colOff>
      <xdr:row>17</xdr:row>
      <xdr:rowOff>142876</xdr:rowOff>
    </xdr:from>
    <xdr:to>
      <xdr:col>17</xdr:col>
      <xdr:colOff>57150</xdr:colOff>
      <xdr:row>30</xdr:row>
      <xdr:rowOff>133351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A994AF-FF6C-4B89-9803-6E0CD64F2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1/P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tVar"/>
      <sheetName val="PL"/>
      <sheetName val="AllocDefintion"/>
      <sheetName val="AllocDetail"/>
      <sheetName val="AllocSummary"/>
      <sheetName val="PLReport"/>
      <sheetName val="Fcst"/>
      <sheetName val="FcstDetail"/>
      <sheetName val="FxVar"/>
      <sheetName val="FxRates"/>
      <sheetName val="{PL}PickLst"/>
      <sheetName val="Lookup"/>
      <sheetName val="AllocationIn"/>
      <sheetName val="{AR}01"/>
    </sheetNames>
    <sheetDataSet>
      <sheetData sheetId="0">
        <row r="13">
          <cell r="C13" t="str">
            <v>Massachusetts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9">
          <cell r="E9" t="str">
            <v>Jan</v>
          </cell>
          <cell r="F9" t="str">
            <v>Feb</v>
          </cell>
          <cell r="G9" t="str">
            <v>Mar</v>
          </cell>
          <cell r="H9" t="str">
            <v>Apr</v>
          </cell>
          <cell r="I9" t="str">
            <v>May</v>
          </cell>
          <cell r="J9" t="str">
            <v>Jun</v>
          </cell>
          <cell r="K9" t="str">
            <v>Jul</v>
          </cell>
          <cell r="L9" t="str">
            <v>Aug</v>
          </cell>
          <cell r="M9" t="str">
            <v>Sep</v>
          </cell>
          <cell r="N9" t="str">
            <v>Oct</v>
          </cell>
          <cell r="O9" t="str">
            <v>Nov</v>
          </cell>
          <cell r="P9" t="str">
            <v>Dec</v>
          </cell>
        </row>
        <row r="11">
          <cell r="C11" t="str">
            <v>Actual</v>
          </cell>
          <cell r="E11">
            <v>531437.3442587977</v>
          </cell>
          <cell r="F11">
            <v>541894.44671879767</v>
          </cell>
          <cell r="G11">
            <v>544845.23230309191</v>
          </cell>
          <cell r="H11">
            <v>551155.52251474222</v>
          </cell>
          <cell r="I11">
            <v>540515.03850384825</v>
          </cell>
          <cell r="J11">
            <v>548671.01639837259</v>
          </cell>
          <cell r="K11">
            <v>548218.66164635099</v>
          </cell>
          <cell r="L11">
            <v>575260.815202681</v>
          </cell>
          <cell r="M11">
            <v>543623.46230140422</v>
          </cell>
          <cell r="N11">
            <v>567707.88973742444</v>
          </cell>
          <cell r="O11">
            <v>619584.34911138203</v>
          </cell>
          <cell r="P11">
            <v>708212.97856140463</v>
          </cell>
        </row>
        <row r="12">
          <cell r="C12" t="str">
            <v>Budget</v>
          </cell>
          <cell r="E12">
            <v>1097975.3162357293</v>
          </cell>
          <cell r="F12">
            <v>1024279.2901451183</v>
          </cell>
          <cell r="G12">
            <v>867944.43830586958</v>
          </cell>
          <cell r="H12">
            <v>867160.52988908533</v>
          </cell>
          <cell r="I12">
            <v>933265.31046966533</v>
          </cell>
          <cell r="J12">
            <v>903235.29761748738</v>
          </cell>
          <cell r="K12">
            <v>920310.9807631165</v>
          </cell>
          <cell r="L12">
            <v>931169.6178732285</v>
          </cell>
          <cell r="M12">
            <v>954153.66861911514</v>
          </cell>
          <cell r="N12">
            <v>1108957.5393327107</v>
          </cell>
          <cell r="O12">
            <v>1132474.4503614088</v>
          </cell>
          <cell r="P12">
            <v>1180417.410055727</v>
          </cell>
        </row>
        <row r="13">
          <cell r="C13" t="str">
            <v>Forecast</v>
          </cell>
          <cell r="E13">
            <v>531437.3442587977</v>
          </cell>
          <cell r="F13">
            <v>541894.44671879767</v>
          </cell>
          <cell r="G13">
            <v>544845.23230309191</v>
          </cell>
          <cell r="H13">
            <v>551155.52251474222</v>
          </cell>
          <cell r="I13">
            <v>540515.03850384825</v>
          </cell>
          <cell r="J13">
            <v>548671.01639837259</v>
          </cell>
          <cell r="K13">
            <v>1280211.017380873</v>
          </cell>
          <cell r="L13">
            <v>1295316.0711645184</v>
          </cell>
          <cell r="M13">
            <v>1327288.3453239838</v>
          </cell>
          <cell r="N13">
            <v>1542630.3601029646</v>
          </cell>
          <cell r="O13">
            <v>1575343.8767544122</v>
          </cell>
          <cell r="P13">
            <v>1642035.5782438577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Relationship Id="rId4" Type="http://schemas.openxmlformats.org/officeDocument/2006/relationships/customProperty" Target="../customProperty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B047-98C9-4C40-86E7-209019339E80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F396-536E-4014-9288-19302361940E}">
  <dimension ref="B3:Q35"/>
  <sheetViews>
    <sheetView showGridLines="0" showRowColHeaders="0" tabSelected="1" workbookViewId="0"/>
  </sheetViews>
  <sheetFormatPr defaultRowHeight="15" x14ac:dyDescent="0.25"/>
  <cols>
    <col min="1" max="1" width="2.7109375" customWidth="1"/>
    <col min="2" max="2" width="25.7109375" hidden="1" customWidth="1"/>
    <col min="3" max="4" width="25.7109375" customWidth="1"/>
    <col min="5" max="5" width="15.140625" customWidth="1"/>
    <col min="6" max="17" width="12.140625" customWidth="1"/>
  </cols>
  <sheetData>
    <row r="3" spans="2:17" ht="15.75" hidden="1" thickBot="1" x14ac:dyDescent="0.3">
      <c r="B3" s="1" t="s">
        <v>25</v>
      </c>
    </row>
    <row r="4" spans="2:17" s="2" customFormat="1" hidden="1" thickBot="1" x14ac:dyDescent="0.3">
      <c r="B4" s="2">
        <v>0</v>
      </c>
      <c r="C4" s="3" t="s">
        <v>29</v>
      </c>
      <c r="D4" s="3"/>
      <c r="E4" s="4">
        <v>123.456789</v>
      </c>
      <c r="F4" s="4">
        <v>123.456789</v>
      </c>
      <c r="G4" s="4">
        <v>123.456789</v>
      </c>
      <c r="H4" s="4">
        <v>123.456789</v>
      </c>
      <c r="I4" s="4">
        <v>123.456789</v>
      </c>
      <c r="J4" s="4">
        <v>123.456789</v>
      </c>
      <c r="K4" s="4">
        <v>123.456789</v>
      </c>
      <c r="L4" s="4">
        <v>123.456789</v>
      </c>
      <c r="M4" s="4">
        <v>123.456789</v>
      </c>
      <c r="N4" s="4">
        <v>123.456789</v>
      </c>
      <c r="O4" s="4">
        <v>123.456789</v>
      </c>
      <c r="P4" s="4">
        <v>123.456789</v>
      </c>
      <c r="Q4" s="38">
        <v>123.456789</v>
      </c>
    </row>
    <row r="5" spans="2:17" s="5" customFormat="1" hidden="1" thickBot="1" x14ac:dyDescent="0.3">
      <c r="B5" s="5">
        <v>1</v>
      </c>
      <c r="C5" s="6" t="s">
        <v>29</v>
      </c>
      <c r="D5" s="6"/>
      <c r="E5" s="7">
        <v>123.456789</v>
      </c>
      <c r="F5" s="7">
        <v>123.456789</v>
      </c>
      <c r="G5" s="7">
        <v>123.456789</v>
      </c>
      <c r="H5" s="7">
        <v>123.456789</v>
      </c>
      <c r="I5" s="7">
        <v>123.456789</v>
      </c>
      <c r="J5" s="7">
        <v>123.456789</v>
      </c>
      <c r="K5" s="7">
        <v>123.456789</v>
      </c>
      <c r="L5" s="7">
        <v>123.456789</v>
      </c>
      <c r="M5" s="7">
        <v>123.456789</v>
      </c>
      <c r="N5" s="7">
        <v>123.456789</v>
      </c>
      <c r="O5" s="7">
        <v>123.456789</v>
      </c>
      <c r="P5" s="7">
        <v>123.456789</v>
      </c>
      <c r="Q5" s="39">
        <v>123.456789</v>
      </c>
    </row>
    <row r="6" spans="2:17" s="8" customFormat="1" hidden="1" thickBot="1" x14ac:dyDescent="0.3">
      <c r="B6" s="8">
        <v>2</v>
      </c>
      <c r="C6" s="9" t="s">
        <v>29</v>
      </c>
      <c r="D6" s="9"/>
      <c r="E6" s="10">
        <v>123.456789</v>
      </c>
      <c r="F6" s="10">
        <v>123.456789</v>
      </c>
      <c r="G6" s="10">
        <v>123.456789</v>
      </c>
      <c r="H6" s="10">
        <v>123.456789</v>
      </c>
      <c r="I6" s="10">
        <v>123.456789</v>
      </c>
      <c r="J6" s="10">
        <v>123.456789</v>
      </c>
      <c r="K6" s="10">
        <v>123.456789</v>
      </c>
      <c r="L6" s="10">
        <v>123.456789</v>
      </c>
      <c r="M6" s="10">
        <v>123.456789</v>
      </c>
      <c r="N6" s="10">
        <v>123.456789</v>
      </c>
      <c r="O6" s="10">
        <v>123.456789</v>
      </c>
      <c r="P6" s="10">
        <v>123.456789</v>
      </c>
      <c r="Q6" s="40">
        <v>123.456789</v>
      </c>
    </row>
    <row r="7" spans="2:17" s="11" customFormat="1" hidden="1" thickBot="1" x14ac:dyDescent="0.3">
      <c r="B7" s="11">
        <v>3</v>
      </c>
      <c r="C7" s="12" t="s">
        <v>29</v>
      </c>
      <c r="D7" s="12"/>
      <c r="E7" s="13">
        <v>123.456789</v>
      </c>
      <c r="F7" s="13">
        <v>123.456789</v>
      </c>
      <c r="G7" s="13">
        <v>123.456789</v>
      </c>
      <c r="H7" s="13">
        <v>123.456789</v>
      </c>
      <c r="I7" s="13">
        <v>123.456789</v>
      </c>
      <c r="J7" s="13">
        <v>123.456789</v>
      </c>
      <c r="K7" s="13">
        <v>123.456789</v>
      </c>
      <c r="L7" s="13">
        <v>123.456789</v>
      </c>
      <c r="M7" s="13">
        <v>123.456789</v>
      </c>
      <c r="N7" s="13">
        <v>123.456789</v>
      </c>
      <c r="O7" s="13">
        <v>123.456789</v>
      </c>
      <c r="P7" s="13">
        <v>123.456789</v>
      </c>
      <c r="Q7" s="41">
        <v>123.456789</v>
      </c>
    </row>
    <row r="8" spans="2:17" s="14" customFormat="1" hidden="1" thickBot="1" x14ac:dyDescent="0.3">
      <c r="B8" s="14">
        <v>4</v>
      </c>
      <c r="C8" s="15" t="s">
        <v>29</v>
      </c>
      <c r="D8" s="15"/>
      <c r="E8" s="16">
        <v>123.456789</v>
      </c>
      <c r="F8" s="16">
        <v>123.456789</v>
      </c>
      <c r="G8" s="16">
        <v>123.456789</v>
      </c>
      <c r="H8" s="16">
        <v>123.456789</v>
      </c>
      <c r="I8" s="16">
        <v>123.456789</v>
      </c>
      <c r="J8" s="16">
        <v>123.456789</v>
      </c>
      <c r="K8" s="16">
        <v>123.456789</v>
      </c>
      <c r="L8" s="16">
        <v>123.456789</v>
      </c>
      <c r="M8" s="16">
        <v>123.456789</v>
      </c>
      <c r="N8" s="16">
        <v>123.456789</v>
      </c>
      <c r="O8" s="16">
        <v>123.456789</v>
      </c>
      <c r="P8" s="16">
        <v>123.456789</v>
      </c>
      <c r="Q8" s="42">
        <v>123.456789</v>
      </c>
    </row>
    <row r="9" spans="2:17" s="17" customFormat="1" hidden="1" thickBot="1" x14ac:dyDescent="0.3">
      <c r="B9" s="17">
        <v>5</v>
      </c>
      <c r="C9" s="18" t="s">
        <v>29</v>
      </c>
      <c r="D9" s="18"/>
      <c r="E9" s="19">
        <v>123.456789</v>
      </c>
      <c r="F9" s="19">
        <v>123.456789</v>
      </c>
      <c r="G9" s="19">
        <v>123.456789</v>
      </c>
      <c r="H9" s="19">
        <v>123.456789</v>
      </c>
      <c r="I9" s="19">
        <v>123.456789</v>
      </c>
      <c r="J9" s="19">
        <v>123.456789</v>
      </c>
      <c r="K9" s="19">
        <v>123.456789</v>
      </c>
      <c r="L9" s="19">
        <v>123.456789</v>
      </c>
      <c r="M9" s="19">
        <v>123.456789</v>
      </c>
      <c r="N9" s="19">
        <v>123.456789</v>
      </c>
      <c r="O9" s="19">
        <v>123.456789</v>
      </c>
      <c r="P9" s="19">
        <v>123.456789</v>
      </c>
      <c r="Q9" s="43">
        <v>123.456789</v>
      </c>
    </row>
    <row r="10" spans="2:17" s="21" customFormat="1" hidden="1" thickBot="1" x14ac:dyDescent="0.3">
      <c r="B10" s="20" t="s">
        <v>26</v>
      </c>
      <c r="C10" s="22" t="s">
        <v>29</v>
      </c>
      <c r="D10" s="22"/>
      <c r="E10" s="23">
        <v>123.456789</v>
      </c>
      <c r="F10" s="23">
        <v>123.456789</v>
      </c>
      <c r="G10" s="23">
        <v>123.456789</v>
      </c>
      <c r="H10" s="23">
        <v>123.456789</v>
      </c>
      <c r="I10" s="23">
        <v>123.456789</v>
      </c>
      <c r="J10" s="23">
        <v>123.456789</v>
      </c>
      <c r="K10" s="23">
        <v>123.456789</v>
      </c>
      <c r="L10" s="23">
        <v>123.456789</v>
      </c>
      <c r="M10" s="23">
        <v>123.456789</v>
      </c>
      <c r="N10" s="23">
        <v>123.456789</v>
      </c>
      <c r="O10" s="23">
        <v>123.456789</v>
      </c>
      <c r="P10" s="23">
        <v>123.456789</v>
      </c>
      <c r="Q10" s="44">
        <v>123.456789</v>
      </c>
    </row>
    <row r="11" spans="2:17" s="25" customFormat="1" hidden="1" thickBot="1" x14ac:dyDescent="0.3">
      <c r="B11" s="24" t="s">
        <v>27</v>
      </c>
      <c r="C11" s="26" t="s">
        <v>29</v>
      </c>
      <c r="D11" s="26"/>
      <c r="E11" s="27">
        <v>123.456789</v>
      </c>
      <c r="F11" s="27">
        <v>123.456789</v>
      </c>
      <c r="G11" s="27">
        <v>123.456789</v>
      </c>
      <c r="H11" s="27">
        <v>123.456789</v>
      </c>
      <c r="I11" s="27">
        <v>123.456789</v>
      </c>
      <c r="J11" s="27">
        <v>123.456789</v>
      </c>
      <c r="K11" s="27">
        <v>123.456789</v>
      </c>
      <c r="L11" s="27">
        <v>123.456789</v>
      </c>
      <c r="M11" s="27">
        <v>123.456789</v>
      </c>
      <c r="N11" s="27">
        <v>123.456789</v>
      </c>
      <c r="O11" s="27">
        <v>123.456789</v>
      </c>
      <c r="P11" s="27">
        <v>123.456789</v>
      </c>
      <c r="Q11" s="45">
        <v>123.456789</v>
      </c>
    </row>
    <row r="12" spans="2:17" hidden="1" x14ac:dyDescent="0.25">
      <c r="B12" s="1" t="s">
        <v>28</v>
      </c>
    </row>
    <row r="13" spans="2:17" hidden="1" x14ac:dyDescent="0.25">
      <c r="C13" s="1" t="s">
        <v>30</v>
      </c>
      <c r="D13" s="1"/>
    </row>
    <row r="14" spans="2:17" hidden="1" x14ac:dyDescent="0.25">
      <c r="C14" t="str">
        <f>_xll.TM1RPTVIEW("24Retail:Income Statement:14022269",0,_xll.TM1RPTTITLE("24Retail:organization",$D$16),_xll.TM1RPTTITLE("24Retail:Currency Calc",$E$16),_xll.TM1RPTTITLE("24Retail:Year",$F$16),_xll.TM1RPTTITLE("24Retail:Version",$G$16),TM1RPTFMTRNG14022269,TM1RPTFMTIDCOL14022269)</f>
        <v>24Retail:Income Statement:14022269</v>
      </c>
    </row>
    <row r="15" spans="2:17" x14ac:dyDescent="0.25">
      <c r="D15" s="31" t="s">
        <v>31</v>
      </c>
      <c r="E15" s="31" t="s">
        <v>32</v>
      </c>
      <c r="F15" s="31" t="s">
        <v>12</v>
      </c>
      <c r="G15" s="31" t="s">
        <v>33</v>
      </c>
      <c r="H15" s="31" t="s">
        <v>34</v>
      </c>
    </row>
    <row r="16" spans="2:17" x14ac:dyDescent="0.25">
      <c r="C16" s="34"/>
      <c r="D16" s="35" t="str">
        <f>_xll.SUBNM("24Retail:organization","Workflow","Massachusetts","Caption_Default")</f>
        <v>Massachusetts</v>
      </c>
      <c r="E16" s="35" t="str">
        <f>_xll.SUBNM("24Retail:Currency Calc","Default","Base")</f>
        <v>Base</v>
      </c>
      <c r="F16" s="35" t="str">
        <f>_xll.SUBNM("24Retail:Year","Default","2021","Caption_Default")</f>
        <v>2021</v>
      </c>
      <c r="G16" s="35" t="str">
        <f>_xll.SUBNM("24Retail:Version",,"Forecast","Caption_Default")</f>
        <v>Forecast</v>
      </c>
      <c r="H16" s="35" t="str">
        <f>_xll.DBRW("24Retail:calendar","Fcst Month","String")</f>
        <v>Feb</v>
      </c>
    </row>
    <row r="17" spans="2:17" x14ac:dyDescent="0.25">
      <c r="C17" s="36"/>
      <c r="D17" s="36"/>
    </row>
    <row r="18" spans="2:17" x14ac:dyDescent="0.25">
      <c r="C18" s="34"/>
      <c r="D18" s="37" t="s">
        <v>35</v>
      </c>
      <c r="E18" s="37" t="str">
        <f>E19</f>
        <v>A</v>
      </c>
      <c r="F18" s="37" t="str">
        <f t="shared" ref="F18:P18" si="0">F19</f>
        <v>F</v>
      </c>
      <c r="G18" s="37" t="str">
        <f t="shared" si="0"/>
        <v>F</v>
      </c>
      <c r="H18" s="37" t="str">
        <f t="shared" si="0"/>
        <v>F</v>
      </c>
      <c r="I18" s="37" t="str">
        <f t="shared" si="0"/>
        <v>F</v>
      </c>
      <c r="J18" s="37" t="str">
        <f t="shared" si="0"/>
        <v>F</v>
      </c>
      <c r="K18" s="37" t="str">
        <f t="shared" si="0"/>
        <v>F</v>
      </c>
      <c r="L18" s="37" t="str">
        <f t="shared" si="0"/>
        <v>F</v>
      </c>
      <c r="M18" s="37" t="str">
        <f t="shared" si="0"/>
        <v>F</v>
      </c>
      <c r="N18" s="37" t="str">
        <f t="shared" si="0"/>
        <v>F</v>
      </c>
      <c r="O18" s="37" t="str">
        <f t="shared" si="0"/>
        <v>F</v>
      </c>
      <c r="P18" s="37" t="str">
        <f t="shared" si="0"/>
        <v>F</v>
      </c>
    </row>
    <row r="19" spans="2:17" hidden="1" x14ac:dyDescent="0.25">
      <c r="C19" s="34"/>
      <c r="D19" s="32" t="s">
        <v>35</v>
      </c>
      <c r="E19" s="32" t="str">
        <f>_xll.DBRW("24Retail:Relative Time",$F$16,E$22,"ActFor")</f>
        <v>A</v>
      </c>
      <c r="F19" s="32" t="str">
        <f>_xll.DBRW("24Retail:Relative Time",$F$16,F$22,"ActFor")</f>
        <v>F</v>
      </c>
      <c r="G19" s="32" t="str">
        <f>_xll.DBRW("24Retail:Relative Time",$F$16,G$22,"ActFor")</f>
        <v>F</v>
      </c>
      <c r="H19" s="32" t="str">
        <f>_xll.DBRW("24Retail:Relative Time",$F$16,H$22,"ActFor")</f>
        <v>F</v>
      </c>
      <c r="I19" s="32" t="str">
        <f>_xll.DBRW("24Retail:Relative Time",$F$16,I$22,"ActFor")</f>
        <v>F</v>
      </c>
      <c r="J19" s="32" t="str">
        <f>_xll.DBRW("24Retail:Relative Time",$F$16,J$22,"ActFor")</f>
        <v>F</v>
      </c>
      <c r="K19" s="32" t="str">
        <f>_xll.DBRW("24Retail:Relative Time",$F$16,K$22,"ActFor")</f>
        <v>F</v>
      </c>
      <c r="L19" s="32" t="str">
        <f>_xll.DBRW("24Retail:Relative Time",$F$16,L$22,"ActFor")</f>
        <v>F</v>
      </c>
      <c r="M19" s="32" t="str">
        <f>_xll.DBRW("24Retail:Relative Time",$F$16,M$22,"ActFor")</f>
        <v>F</v>
      </c>
      <c r="N19" s="32" t="str">
        <f>_xll.DBRW("24Retail:Relative Time",$F$16,N$22,"ActFor")</f>
        <v>F</v>
      </c>
      <c r="O19" s="32" t="str">
        <f>_xll.DBRW("24Retail:Relative Time",$F$16,O$22,"ActFor")</f>
        <v>F</v>
      </c>
      <c r="P19" s="32" t="str">
        <f>_xll.DBRW("24Retail:Relative Time",$F$16,P$22,"ActFor")</f>
        <v>F</v>
      </c>
    </row>
    <row r="21" spans="2:17" ht="15.75" thickBot="1" x14ac:dyDescent="0.3"/>
    <row r="22" spans="2:17" ht="15.75" thickBot="1" x14ac:dyDescent="0.3">
      <c r="D22" s="33" t="s">
        <v>36</v>
      </c>
      <c r="E22" s="28" t="s">
        <v>0</v>
      </c>
      <c r="F22" s="28" t="s">
        <v>1</v>
      </c>
      <c r="G22" s="28" t="s">
        <v>2</v>
      </c>
      <c r="H22" s="28" t="s">
        <v>3</v>
      </c>
      <c r="I22" s="28" t="s">
        <v>4</v>
      </c>
      <c r="J22" s="28" t="s">
        <v>5</v>
      </c>
      <c r="K22" s="28" t="s">
        <v>6</v>
      </c>
      <c r="L22" s="28" t="s">
        <v>7</v>
      </c>
      <c r="M22" s="28" t="s">
        <v>8</v>
      </c>
      <c r="N22" s="28" t="s">
        <v>9</v>
      </c>
      <c r="O22" s="28" t="s">
        <v>10</v>
      </c>
      <c r="P22" s="28" t="s">
        <v>11</v>
      </c>
      <c r="Q22" s="28" t="s">
        <v>12</v>
      </c>
    </row>
    <row r="23" spans="2:17" s="25" customFormat="1" thickBot="1" x14ac:dyDescent="0.3">
      <c r="B23" s="24" t="str">
        <f>IF(_xll.TM1RPTELISCONSOLIDATED($C$23,$C23),IF(_xll.TM1RPTELLEV($C$23,$C23)&lt;=5,_xll.TM1RPTELLEV($C$23,$C23),"Default"),"Leaf")</f>
        <v>Leaf</v>
      </c>
      <c r="C23" s="29" t="str">
        <f>_xll.TM1RPTROW($C$14,"24Retail:Account",,,"Caption_Default",FALSE,C$13)</f>
        <v>4999 Gross Revenue</v>
      </c>
      <c r="D23" s="26" t="str">
        <f>_xll.DBRW("24Retail:FcstMethod",$C23,"FcstMethod")</f>
        <v>Last Year Actual</v>
      </c>
      <c r="E23" s="27">
        <f>_xll.DBRW($C$14,$E$16,$D$16,$F$16,E$22,$C23,$G$16)</f>
        <v>531437.3442587977</v>
      </c>
      <c r="F23" s="27">
        <f>_xll.DBRW($C$14,$E$16,$D$16,$F$16,F$22,$C23,$G$16)</f>
        <v>736412.1641377972</v>
      </c>
      <c r="G23" s="27">
        <f>_xll.DBRW($C$14,$E$16,$D$16,$F$16,G$22,$C23,$G$16)</f>
        <v>739347.80648148549</v>
      </c>
      <c r="H23" s="27">
        <f>_xll.DBRW($C$14,$E$16,$D$16,$F$16,H$22,$C23,$G$16)</f>
        <v>741110.94882517355</v>
      </c>
      <c r="I23" s="27">
        <f>_xll.DBRW($C$14,$E$16,$D$16,$F$16,I$22,$C23,$G$16)</f>
        <v>750378.86666090076</v>
      </c>
      <c r="J23" s="27">
        <f>_xll.DBRW($C$14,$E$16,$D$16,$F$16,J$22,$C23,$G$16)</f>
        <v>753760.60900458891</v>
      </c>
      <c r="K23" s="27">
        <f>_xll.DBRW($C$14,$E$16,$D$16,$F$16,K$22,$C23,$G$16)</f>
        <v>760624.2268403162</v>
      </c>
      <c r="L23" s="27">
        <f>_xll.DBRW($C$14,$E$16,$D$16,$F$16,L$22,$C23,$G$16)</f>
        <v>769055.23701973155</v>
      </c>
      <c r="M23" s="27">
        <f>_xll.DBRW($C$14,$E$16,$D$16,$F$16,M$22,$C23,$G$16)</f>
        <v>846980.80485545879</v>
      </c>
      <c r="N23" s="27">
        <f>_xll.DBRW($C$14,$E$16,$D$16,$F$16,N$22,$C23,$G$16)</f>
        <v>857724.70485545893</v>
      </c>
      <c r="O23" s="27">
        <f>_xll.DBRW($C$14,$E$16,$D$16,$F$16,O$22,$C23,$G$16)</f>
        <v>862436.57637505606</v>
      </c>
      <c r="P23" s="27">
        <f>_xll.DBRW($C$14,$E$16,$D$16,$F$16,P$22,$C23,$G$16)</f>
        <v>950697.78731383849</v>
      </c>
      <c r="Q23" s="45">
        <f>_xll.DBRW($C$14,$E$16,$D$16,$F$16,Q$22,$C23,$G$16)</f>
        <v>9299967.076628603</v>
      </c>
    </row>
    <row r="24" spans="2:17" s="25" customFormat="1" thickBot="1" x14ac:dyDescent="0.3">
      <c r="B24" s="24" t="str">
        <f>IF(_xll.TM1RPTELISCONSOLIDATED($C$23,$C24),IF(_xll.TM1RPTELLEV($C$23,$C24)&lt;=5,_xll.TM1RPTELLEV($C$23,$C24),"Default"),"Leaf")</f>
        <v>Leaf</v>
      </c>
      <c r="C24" s="29" t="s">
        <v>13</v>
      </c>
      <c r="D24" s="26" t="str">
        <f>_xll.DBRW("24Retail:FcstMethod",$C24,"FcstMethod")</f>
        <v>Last Year Actual</v>
      </c>
      <c r="E24" s="27">
        <f>_xll.DBRW($C$14,$E$16,$D$16,$F$16,E$22,$C24,$G$16)</f>
        <v>432742.79874679993</v>
      </c>
      <c r="F24" s="27">
        <f>_xll.DBRW($C$14,$E$16,$D$16,$F$16,F$22,$C24,$G$16)</f>
        <v>602346.24338959996</v>
      </c>
      <c r="G24" s="27">
        <f>_xll.DBRW($C$14,$E$16,$D$16,$F$16,G$22,$C24,$G$16)</f>
        <v>604886.67940660007</v>
      </c>
      <c r="H24" s="27">
        <f>_xll.DBRW($C$14,$E$16,$D$16,$F$16,H$22,$C24,$G$16)</f>
        <v>606337.37735259999</v>
      </c>
      <c r="I24" s="27">
        <f>_xll.DBRW($C$14,$E$16,$D$16,$F$16,I$22,$C24,$G$16)</f>
        <v>613817.89432160009</v>
      </c>
      <c r="J24" s="27">
        <f>_xll.DBRW($C$14,$E$16,$D$16,$F$16,J$22,$C24,$G$16)</f>
        <v>616825.23062060005</v>
      </c>
      <c r="K24" s="27">
        <f>_xll.DBRW($C$14,$E$16,$D$16,$F$16,K$22,$C24,$G$16)</f>
        <v>617201.31238980009</v>
      </c>
      <c r="L24" s="27">
        <f>_xll.DBRW($C$14,$E$16,$D$16,$F$16,L$22,$C24,$G$16)</f>
        <v>624191.49250280007</v>
      </c>
      <c r="M24" s="27">
        <f>_xll.DBRW($C$14,$E$16,$D$16,$F$16,M$22,$C24,$G$16)</f>
        <v>678385.50010479998</v>
      </c>
      <c r="N24" s="27">
        <f>_xll.DBRW($C$14,$E$16,$D$16,$F$16,N$22,$C24,$G$16)</f>
        <v>686482.95964680007</v>
      </c>
      <c r="O24" s="27">
        <f>_xll.DBRW($C$14,$E$16,$D$16,$F$16,O$22,$C24,$G$16)</f>
        <v>690102.62554179993</v>
      </c>
      <c r="P24" s="27">
        <f>_xll.DBRW($C$14,$E$16,$D$16,$F$16,P$22,$C24,$G$16)</f>
        <v>759385.07466340007</v>
      </c>
      <c r="Q24" s="45">
        <f>_xll.DBRW($C$14,$E$16,$D$16,$F$16,Q$22,$C24,$G$16)</f>
        <v>7532705.1886871997</v>
      </c>
    </row>
    <row r="25" spans="2:17" s="2" customFormat="1" thickBot="1" x14ac:dyDescent="0.3">
      <c r="B25" s="2">
        <f>IF(_xll.TM1RPTELISCONSOLIDATED($C$23,$C25),IF(_xll.TM1RPTELLEV($C$23,$C25)&lt;=5,_xll.TM1RPTELLEV($C$23,$C25),"Default"),"Leaf")</f>
        <v>0</v>
      </c>
      <c r="C25" s="30" t="s">
        <v>14</v>
      </c>
      <c r="D25" s="3" t="str">
        <f>_xll.DBRW("24Retail:FcstMethod",$C25,"FcstMethod")</f>
        <v/>
      </c>
      <c r="E25" s="4">
        <f>_xll.DBRW($C$14,$E$16,$D$16,$F$16,E$22,$C25,$G$16)</f>
        <v>98694.545511997771</v>
      </c>
      <c r="F25" s="4">
        <f>_xll.DBRW($C$14,$E$16,$D$16,$F$16,F$22,$C25,$G$16)</f>
        <v>134065.92074819724</v>
      </c>
      <c r="G25" s="4">
        <f>_xll.DBRW($C$14,$E$16,$D$16,$F$16,G$22,$C25,$G$16)</f>
        <v>134461.12707488541</v>
      </c>
      <c r="H25" s="4">
        <f>_xll.DBRW($C$14,$E$16,$D$16,$F$16,H$22,$C25,$G$16)</f>
        <v>134773.57147257356</v>
      </c>
      <c r="I25" s="4">
        <f>_xll.DBRW($C$14,$E$16,$D$16,$F$16,I$22,$C25,$G$16)</f>
        <v>136560.97233930067</v>
      </c>
      <c r="J25" s="4">
        <f>_xll.DBRW($C$14,$E$16,$D$16,$F$16,J$22,$C25,$G$16)</f>
        <v>136935.37838398886</v>
      </c>
      <c r="K25" s="4">
        <f>_xll.DBRW($C$14,$E$16,$D$16,$F$16,K$22,$C25,$G$16)</f>
        <v>143422.91445051611</v>
      </c>
      <c r="L25" s="4">
        <f>_xll.DBRW($C$14,$E$16,$D$16,$F$16,L$22,$C25,$G$16)</f>
        <v>144863.74451693147</v>
      </c>
      <c r="M25" s="4">
        <f>_xll.DBRW($C$14,$E$16,$D$16,$F$16,M$22,$C25,$G$16)</f>
        <v>168595.3047506588</v>
      </c>
      <c r="N25" s="4">
        <f>_xll.DBRW($C$14,$E$16,$D$16,$F$16,N$22,$C25,$G$16)</f>
        <v>171241.74520865886</v>
      </c>
      <c r="O25" s="4">
        <f>_xll.DBRW($C$14,$E$16,$D$16,$F$16,O$22,$C25,$G$16)</f>
        <v>172333.95083325612</v>
      </c>
      <c r="P25" s="4">
        <f>_xll.DBRW($C$14,$E$16,$D$16,$F$16,P$22,$C25,$G$16)</f>
        <v>191312.71265043842</v>
      </c>
      <c r="Q25" s="38">
        <f>_xll.DBRW($C$14,$E$16,$D$16,$F$16,Q$22,$C25,$G$16)</f>
        <v>1767261.8879414028</v>
      </c>
    </row>
    <row r="26" spans="2:17" s="2" customFormat="1" thickBot="1" x14ac:dyDescent="0.3">
      <c r="B26" s="2">
        <f>IF(_xll.TM1RPTELISCONSOLIDATED($C$23,$C26),IF(_xll.TM1RPTELLEV($C$23,$C26)&lt;=5,_xll.TM1RPTELLEV($C$23,$C26),"Default"),"Leaf")</f>
        <v>0</v>
      </c>
      <c r="C26" s="30" t="s">
        <v>15</v>
      </c>
      <c r="D26" s="3" t="str">
        <f>_xll.DBRW("24Retail:FcstMethod",$C26,"FcstMethod")</f>
        <v>Budget</v>
      </c>
      <c r="E26" s="4">
        <f>_xll.DBRW($C$14,$E$16,$D$16,$F$16,E$22,$C26,$G$16)</f>
        <v>34664.374411418918</v>
      </c>
      <c r="F26" s="4">
        <f>_xll.DBRW($C$14,$E$16,$D$16,$F$16,F$22,$C26,$G$16)</f>
        <v>29273.464466427798</v>
      </c>
      <c r="G26" s="4">
        <f>_xll.DBRW($C$14,$E$16,$D$16,$F$16,G$22,$C26,$G$16)</f>
        <v>30961.178041275656</v>
      </c>
      <c r="H26" s="4">
        <f>_xll.DBRW($C$14,$E$16,$D$16,$F$16,H$22,$C26,$G$16)</f>
        <v>33335.309811280262</v>
      </c>
      <c r="I26" s="4">
        <f>_xll.DBRW($C$14,$E$16,$D$16,$F$16,I$22,$C26,$G$16)</f>
        <v>31746.549833374658</v>
      </c>
      <c r="J26" s="4">
        <f>_xll.DBRW($C$14,$E$16,$D$16,$F$16,J$22,$C26,$G$16)</f>
        <v>32067.169483103389</v>
      </c>
      <c r="K26" s="4">
        <f>_xll.DBRW($C$14,$E$16,$D$16,$F$16,K$22,$C26,$G$16)</f>
        <v>32175.914709961398</v>
      </c>
      <c r="L26" s="4">
        <f>_xll.DBRW($C$14,$E$16,$D$16,$F$16,L$22,$C26,$G$16)</f>
        <v>31212.754648149741</v>
      </c>
      <c r="M26" s="4">
        <f>_xll.DBRW($C$14,$E$16,$D$16,$F$16,M$22,$C26,$G$16)</f>
        <v>31255.029066271138</v>
      </c>
      <c r="N26" s="4">
        <f>_xll.DBRW($C$14,$E$16,$D$16,$F$16,N$22,$C26,$G$16)</f>
        <v>31305.042756581341</v>
      </c>
      <c r="O26" s="4">
        <f>_xll.DBRW($C$14,$E$16,$D$16,$F$16,O$22,$C26,$G$16)</f>
        <v>30451.85555204242</v>
      </c>
      <c r="P26" s="4">
        <f>_xll.DBRW($C$14,$E$16,$D$16,$F$16,P$22,$C26,$G$16)</f>
        <v>29991.919534994944</v>
      </c>
      <c r="Q26" s="38">
        <f>_xll.DBRW($C$14,$E$16,$D$16,$F$16,Q$22,$C26,$G$16)</f>
        <v>378440.56231488159</v>
      </c>
    </row>
    <row r="27" spans="2:17" s="2" customFormat="1" thickBot="1" x14ac:dyDescent="0.3">
      <c r="B27" s="2">
        <f>IF(_xll.TM1RPTELISCONSOLIDATED($C$23,$C27),IF(_xll.TM1RPTELLEV($C$23,$C27)&lt;=5,_xll.TM1RPTELLEV($C$23,$C27),"Default"),"Leaf")</f>
        <v>0</v>
      </c>
      <c r="C27" s="30" t="s">
        <v>16</v>
      </c>
      <c r="D27" s="3" t="str">
        <f>_xll.DBRW("24Retail:FcstMethod",$C27,"FcstMethod")</f>
        <v/>
      </c>
      <c r="E27" s="4">
        <f>_xll.DBRW($C$14,$E$16,$D$16,$F$16,E$22,$C27,$G$16)</f>
        <v>5492</v>
      </c>
      <c r="F27" s="4">
        <f>_xll.DBRW($C$14,$E$16,$D$16,$F$16,F$22,$C27,$G$16)</f>
        <v>5583.0709090909095</v>
      </c>
      <c r="G27" s="4">
        <f>_xll.DBRW($C$14,$E$16,$D$16,$F$16,G$22,$C27,$G$16)</f>
        <v>5583.0709090909095</v>
      </c>
      <c r="H27" s="4">
        <f>_xll.DBRW($C$14,$E$16,$D$16,$F$16,H$22,$C27,$G$16)</f>
        <v>5583.0709090909095</v>
      </c>
      <c r="I27" s="4">
        <f>_xll.DBRW($C$14,$E$16,$D$16,$F$16,I$22,$C27,$G$16)</f>
        <v>5583.0709090909095</v>
      </c>
      <c r="J27" s="4">
        <f>_xll.DBRW($C$14,$E$16,$D$16,$F$16,J$22,$C27,$G$16)</f>
        <v>5583.0709090909095</v>
      </c>
      <c r="K27" s="4">
        <f>_xll.DBRW($C$14,$E$16,$D$16,$F$16,K$22,$C27,$G$16)</f>
        <v>5583.0709090909095</v>
      </c>
      <c r="L27" s="4">
        <f>_xll.DBRW($C$14,$E$16,$D$16,$F$16,L$22,$C27,$G$16)</f>
        <v>5583.0709090909095</v>
      </c>
      <c r="M27" s="4">
        <f>_xll.DBRW($C$14,$E$16,$D$16,$F$16,M$22,$C27,$G$16)</f>
        <v>5583.0709090909095</v>
      </c>
      <c r="N27" s="4">
        <f>_xll.DBRW($C$14,$E$16,$D$16,$F$16,N$22,$C27,$G$16)</f>
        <v>5583.0709090909095</v>
      </c>
      <c r="O27" s="4">
        <f>_xll.DBRW($C$14,$E$16,$D$16,$F$16,O$22,$C27,$G$16)</f>
        <v>5583.0709090909095</v>
      </c>
      <c r="P27" s="4">
        <f>_xll.DBRW($C$14,$E$16,$D$16,$F$16,P$22,$C27,$G$16)</f>
        <v>5583.0709090909077</v>
      </c>
      <c r="Q27" s="38">
        <f>_xll.DBRW($C$14,$E$16,$D$16,$F$16,Q$22,$C27,$G$16)</f>
        <v>66905.78</v>
      </c>
    </row>
    <row r="28" spans="2:17" s="2" customFormat="1" thickBot="1" x14ac:dyDescent="0.3">
      <c r="B28" s="2">
        <f>IF(_xll.TM1RPTELISCONSOLIDATED($C$23,$C28),IF(_xll.TM1RPTELLEV($C$23,$C28)&lt;=5,_xll.TM1RPTELLEV($C$23,$C28),"Default"),"Leaf")</f>
        <v>0</v>
      </c>
      <c r="C28" s="30" t="s">
        <v>17</v>
      </c>
      <c r="D28" s="3" t="str">
        <f>_xll.DBRW("24Retail:FcstMethod",$C28,"FcstMethod")</f>
        <v/>
      </c>
      <c r="E28" s="4">
        <f>_xll.DBRW($C$14,$E$16,$D$16,$F$16,E$22,$C28,$G$16)</f>
        <v>3579</v>
      </c>
      <c r="F28" s="4">
        <f>_xll.DBRW($C$14,$E$16,$D$16,$F$16,F$22,$C28,$G$16)</f>
        <v>3773.5454545454545</v>
      </c>
      <c r="G28" s="4">
        <f>_xll.DBRW($C$14,$E$16,$D$16,$F$16,G$22,$C28,$G$16)</f>
        <v>3773.5454545454545</v>
      </c>
      <c r="H28" s="4">
        <f>_xll.DBRW($C$14,$E$16,$D$16,$F$16,H$22,$C28,$G$16)</f>
        <v>3773.5454545454545</v>
      </c>
      <c r="I28" s="4">
        <f>_xll.DBRW($C$14,$E$16,$D$16,$F$16,I$22,$C28,$G$16)</f>
        <v>3773.5454545454545</v>
      </c>
      <c r="J28" s="4">
        <f>_xll.DBRW($C$14,$E$16,$D$16,$F$16,J$22,$C28,$G$16)</f>
        <v>3773.5454545454545</v>
      </c>
      <c r="K28" s="4">
        <f>_xll.DBRW($C$14,$E$16,$D$16,$F$16,K$22,$C28,$G$16)</f>
        <v>3773.545454545455</v>
      </c>
      <c r="L28" s="4">
        <f>_xll.DBRW($C$14,$E$16,$D$16,$F$16,L$22,$C28,$G$16)</f>
        <v>3773.545454545455</v>
      </c>
      <c r="M28" s="4">
        <f>_xll.DBRW($C$14,$E$16,$D$16,$F$16,M$22,$C28,$G$16)</f>
        <v>3773.545454545455</v>
      </c>
      <c r="N28" s="4">
        <f>_xll.DBRW($C$14,$E$16,$D$16,$F$16,N$22,$C28,$G$16)</f>
        <v>3773.545454545455</v>
      </c>
      <c r="O28" s="4">
        <f>_xll.DBRW($C$14,$E$16,$D$16,$F$16,O$22,$C28,$G$16)</f>
        <v>3773.545454545455</v>
      </c>
      <c r="P28" s="4">
        <f>_xll.DBRW($C$14,$E$16,$D$16,$F$16,P$22,$C28,$G$16)</f>
        <v>3773.5454545454559</v>
      </c>
      <c r="Q28" s="38">
        <f>_xll.DBRW($C$14,$E$16,$D$16,$F$16,Q$22,$C28,$G$16)</f>
        <v>45088.000000000007</v>
      </c>
    </row>
    <row r="29" spans="2:17" s="2" customFormat="1" thickBot="1" x14ac:dyDescent="0.3">
      <c r="B29" s="2">
        <f>IF(_xll.TM1RPTELISCONSOLIDATED($C$23,$C29),IF(_xll.TM1RPTELLEV($C$23,$C29)&lt;=5,_xll.TM1RPTELLEV($C$23,$C29),"Default"),"Leaf")</f>
        <v>0</v>
      </c>
      <c r="C29" s="30" t="s">
        <v>18</v>
      </c>
      <c r="D29" s="3" t="str">
        <f>_xll.DBRW("24Retail:FcstMethod",$C29,"FcstMethod")</f>
        <v/>
      </c>
      <c r="E29" s="4">
        <f>_xll.DBRW($C$14,$E$16,$D$16,$F$16,E$22,$C29,$G$16)</f>
        <v>46816.333333333328</v>
      </c>
      <c r="F29" s="4">
        <f>_xll.DBRW($C$14,$E$16,$D$16,$F$16,F$22,$C29,$G$16)</f>
        <v>42307.692307692312</v>
      </c>
      <c r="G29" s="4">
        <f>_xll.DBRW($C$14,$E$16,$D$16,$F$16,G$22,$C29,$G$16)</f>
        <v>66730.769230769234</v>
      </c>
      <c r="H29" s="4">
        <f>_xll.DBRW($C$14,$E$16,$D$16,$F$16,H$22,$C29,$G$16)</f>
        <v>6153.8461538461534</v>
      </c>
      <c r="I29" s="4">
        <f>_xll.DBRW($C$14,$E$16,$D$16,$F$16,I$22,$C29,$G$16)</f>
        <v>6153.8461538461534</v>
      </c>
      <c r="J29" s="4">
        <f>_xll.DBRW($C$14,$E$16,$D$16,$F$16,J$22,$C29,$G$16)</f>
        <v>33653.846153846156</v>
      </c>
      <c r="K29" s="4">
        <f>_xll.DBRW($C$14,$E$16,$D$16,$F$16,K$22,$C29,$G$16)</f>
        <v>6153.8461538461534</v>
      </c>
      <c r="L29" s="4">
        <f>_xll.DBRW($C$14,$E$16,$D$16,$F$16,L$22,$C29,$G$16)</f>
        <v>6153.8461538461534</v>
      </c>
      <c r="M29" s="4">
        <f>_xll.DBRW($C$14,$E$16,$D$16,$F$16,M$22,$C29,$G$16)</f>
        <v>33653.846153846156</v>
      </c>
      <c r="N29" s="4">
        <f>_xll.DBRW($C$14,$E$16,$D$16,$F$16,N$22,$C29,$G$16)</f>
        <v>9230.7692307692305</v>
      </c>
      <c r="O29" s="4">
        <f>_xll.DBRW($C$14,$E$16,$D$16,$F$16,O$22,$C29,$G$16)</f>
        <v>15384.615384615377</v>
      </c>
      <c r="P29" s="4">
        <f>_xll.DBRW($C$14,$E$16,$D$16,$F$16,P$22,$C29,$G$16)</f>
        <v>49038.461538461532</v>
      </c>
      <c r="Q29" s="38">
        <f>_xll.DBRW($C$14,$E$16,$D$16,$F$16,Q$22,$C29,$G$16)</f>
        <v>321431.717948718</v>
      </c>
    </row>
    <row r="30" spans="2:17" s="2" customFormat="1" thickBot="1" x14ac:dyDescent="0.3">
      <c r="B30" s="2">
        <f>IF(_xll.TM1RPTELISCONSOLIDATED($C$23,$C30),IF(_xll.TM1RPTELLEV($C$23,$C30)&lt;=5,_xll.TM1RPTELLEV($C$23,$C30),"Default"),"Leaf")</f>
        <v>0</v>
      </c>
      <c r="C30" s="30" t="s">
        <v>19</v>
      </c>
      <c r="D30" s="3" t="str">
        <f>_xll.DBRW("24Retail:FcstMethod",$C30,"FcstMethod")</f>
        <v>Budget</v>
      </c>
      <c r="E30" s="4">
        <f>_xll.DBRW($C$14,$E$16,$D$16,$F$16,E$22,$C30,$G$16)</f>
        <v>8352</v>
      </c>
      <c r="F30" s="4">
        <f>_xll.DBRW($C$14,$E$16,$D$16,$F$16,F$22,$C30,$G$16)</f>
        <v>11237.056072106261</v>
      </c>
      <c r="G30" s="4">
        <f>_xll.DBRW($C$14,$E$16,$D$16,$F$16,G$22,$C30,$G$16)</f>
        <v>11321.68960247362</v>
      </c>
      <c r="H30" s="4">
        <f>_xll.DBRW($C$14,$E$16,$D$16,$F$16,H$22,$C30,$G$16)</f>
        <v>12841.68960247362</v>
      </c>
      <c r="I30" s="4">
        <f>_xll.DBRW($C$14,$E$16,$D$16,$F$16,I$22,$C30,$G$16)</f>
        <v>11345.68960247362</v>
      </c>
      <c r="J30" s="4">
        <f>_xll.DBRW($C$14,$E$16,$D$16,$F$16,J$22,$C30,$G$16)</f>
        <v>11360.68960247362</v>
      </c>
      <c r="K30" s="4">
        <f>_xll.DBRW($C$14,$E$16,$D$16,$F$16,K$22,$C30,$G$16)</f>
        <v>11406.366912617914</v>
      </c>
      <c r="L30" s="4">
        <f>_xll.DBRW($C$14,$E$16,$D$16,$F$16,L$22,$C30,$G$16)</f>
        <v>11406.366912617914</v>
      </c>
      <c r="M30" s="4">
        <f>_xll.DBRW($C$14,$E$16,$D$16,$F$16,M$22,$C30,$G$16)</f>
        <v>11406.366912617914</v>
      </c>
      <c r="N30" s="4">
        <f>_xll.DBRW($C$14,$E$16,$D$16,$F$16,N$22,$C30,$G$16)</f>
        <v>11425.942902679753</v>
      </c>
      <c r="O30" s="4">
        <f>_xll.DBRW($C$14,$E$16,$D$16,$F$16,O$22,$C30,$G$16)</f>
        <v>11425.942902679753</v>
      </c>
      <c r="P30" s="4">
        <f>_xll.DBRW($C$14,$E$16,$D$16,$F$16,P$22,$C30,$G$16)</f>
        <v>11425.942902679753</v>
      </c>
      <c r="Q30" s="38">
        <f>_xll.DBRW($C$14,$E$16,$D$16,$F$16,Q$22,$C30,$G$16)</f>
        <v>134955.74392789378</v>
      </c>
    </row>
    <row r="31" spans="2:17" s="2" customFormat="1" thickBot="1" x14ac:dyDescent="0.3">
      <c r="B31" s="2">
        <f>IF(_xll.TM1RPTELISCONSOLIDATED($C$23,$C31),IF(_xll.TM1RPTELLEV($C$23,$C31)&lt;=5,_xll.TM1RPTELLEV($C$23,$C31),"Default"),"Leaf")</f>
        <v>0</v>
      </c>
      <c r="C31" s="30" t="s">
        <v>20</v>
      </c>
      <c r="D31" s="3" t="str">
        <f>_xll.DBRW("24Retail:FcstMethod",$C31,"FcstMethod")</f>
        <v/>
      </c>
      <c r="E31" s="4">
        <f>_xll.DBRW($C$14,$E$16,$D$16,$F$16,E$22,$C31,$G$16)</f>
        <v>12000</v>
      </c>
      <c r="F31" s="4">
        <f>_xll.DBRW($C$14,$E$16,$D$16,$F$16,F$22,$C31,$G$16)</f>
        <v>4332.8384524340418</v>
      </c>
      <c r="G31" s="4">
        <f>_xll.DBRW($C$14,$E$16,$D$16,$F$16,G$22,$C31,$G$16)</f>
        <v>5611.1314959390284</v>
      </c>
      <c r="H31" s="4">
        <f>_xll.DBRW($C$14,$E$16,$D$16,$F$16,H$22,$C31,$G$16)</f>
        <v>7314.6566494576891</v>
      </c>
      <c r="I31" s="4">
        <f>_xll.DBRW($C$14,$E$16,$D$16,$F$16,I$22,$C31,$G$16)</f>
        <v>5752.8755326102528</v>
      </c>
      <c r="J31" s="4">
        <f>_xll.DBRW($C$14,$E$16,$D$16,$F$16,J$22,$C31,$G$16)</f>
        <v>6226.2212260023243</v>
      </c>
      <c r="K31" s="4">
        <f>_xll.DBRW($C$14,$E$16,$D$16,$F$16,K$22,$C31,$G$16)</f>
        <v>6431.2511360234221</v>
      </c>
      <c r="L31" s="4">
        <f>_xll.DBRW($C$14,$E$16,$D$16,$F$16,L$22,$C31,$G$16)</f>
        <v>6136.782631545334</v>
      </c>
      <c r="M31" s="4">
        <f>_xll.DBRW($C$14,$E$16,$D$16,$F$16,M$22,$C31,$G$16)</f>
        <v>6264.7516645236929</v>
      </c>
      <c r="N31" s="4">
        <f>_xll.DBRW($C$14,$E$16,$D$16,$F$16,N$22,$C31,$G$16)</f>
        <v>6277.5951440308163</v>
      </c>
      <c r="O31" s="4">
        <f>_xll.DBRW($C$14,$E$16,$D$16,$F$16,O$22,$C31,$G$16)</f>
        <v>6226.3764800332801</v>
      </c>
      <c r="P31" s="4">
        <f>_xll.DBRW($C$14,$E$16,$D$16,$F$16,P$22,$C31,$G$16)</f>
        <v>6256.2410961959295</v>
      </c>
      <c r="Q31" s="38">
        <f>_xll.DBRW($C$14,$E$16,$D$16,$F$16,Q$22,$C31,$G$16)</f>
        <v>78830.721508795803</v>
      </c>
    </row>
    <row r="32" spans="2:17" s="2" customFormat="1" thickBot="1" x14ac:dyDescent="0.3">
      <c r="B32" s="2">
        <f>IF(_xll.TM1RPTELISCONSOLIDATED($C$23,$C32),IF(_xll.TM1RPTELLEV($C$23,$C32)&lt;=5,_xll.TM1RPTELLEV($C$23,$C32),"Default"),"Leaf")</f>
        <v>0</v>
      </c>
      <c r="C32" s="30" t="s">
        <v>21</v>
      </c>
      <c r="D32" s="3" t="str">
        <f>_xll.DBRW("24Retail:FcstMethod",$C32,"FcstMethod")</f>
        <v/>
      </c>
      <c r="E32" s="4">
        <f>_xll.DBRW($C$14,$E$16,$D$16,$F$16,E$22,$C32,$G$16)</f>
        <v>110903.70774475226</v>
      </c>
      <c r="F32" s="4">
        <f>_xll.DBRW($C$14,$E$16,$D$16,$F$16,F$22,$C32,$G$16)</f>
        <v>96507.667662296793</v>
      </c>
      <c r="G32" s="4">
        <f>_xll.DBRW($C$14,$E$16,$D$16,$F$16,G$22,$C32,$G$16)</f>
        <v>123981.38473409391</v>
      </c>
      <c r="H32" s="4">
        <f>_xll.DBRW($C$14,$E$16,$D$16,$F$16,H$22,$C32,$G$16)</f>
        <v>69002.118580694107</v>
      </c>
      <c r="I32" s="4">
        <f>_xll.DBRW($C$14,$E$16,$D$16,$F$16,I$22,$C32,$G$16)</f>
        <v>64355.577485941052</v>
      </c>
      <c r="J32" s="4">
        <f>_xll.DBRW($C$14,$E$16,$D$16,$F$16,J$22,$C32,$G$16)</f>
        <v>92664.542829061858</v>
      </c>
      <c r="K32" s="4">
        <f>_xll.DBRW($C$14,$E$16,$D$16,$F$16,K$22,$C32,$G$16)</f>
        <v>65523.995276085268</v>
      </c>
      <c r="L32" s="4">
        <f>_xll.DBRW($C$14,$E$16,$D$16,$F$16,L$22,$C32,$G$16)</f>
        <v>64266.366709795511</v>
      </c>
      <c r="M32" s="4">
        <f>_xll.DBRW($C$14,$E$16,$D$16,$F$16,M$22,$C32,$G$16)</f>
        <v>91936.610160895259</v>
      </c>
      <c r="N32" s="4">
        <f>_xll.DBRW($C$14,$E$16,$D$16,$F$16,N$22,$C32,$G$16)</f>
        <v>67595.966397697499</v>
      </c>
      <c r="O32" s="4">
        <f>_xll.DBRW($C$14,$E$16,$D$16,$F$16,O$22,$C32,$G$16)</f>
        <v>72845.406683007182</v>
      </c>
      <c r="P32" s="4">
        <f>_xll.DBRW($C$14,$E$16,$D$16,$F$16,P$22,$C32,$G$16)</f>
        <v>106069.18143596852</v>
      </c>
      <c r="Q32" s="38">
        <f>_xll.DBRW($C$14,$E$16,$D$16,$F$16,Q$22,$C32,$G$16)</f>
        <v>1025652.5257002885</v>
      </c>
    </row>
    <row r="33" spans="2:17" s="2" customFormat="1" thickBot="1" x14ac:dyDescent="0.3">
      <c r="B33" s="2">
        <f>IF(_xll.TM1RPTELISCONSOLIDATED($C$23,$C33),IF(_xll.TM1RPTELLEV($C$23,$C33)&lt;=5,_xll.TM1RPTELLEV($C$23,$C33),"Default"),"Leaf")</f>
        <v>0</v>
      </c>
      <c r="C33" s="30" t="s">
        <v>22</v>
      </c>
      <c r="D33" s="3" t="str">
        <f>_xll.DBRW("24Retail:FcstMethod",$C33,"FcstMethod")</f>
        <v/>
      </c>
      <c r="E33" s="4">
        <f>_xll.DBRW($C$14,$E$16,$D$16,$F$16,E$22,$C33,$G$16)</f>
        <v>-12209.162232754479</v>
      </c>
      <c r="F33" s="4">
        <f>_xll.DBRW($C$14,$E$16,$D$16,$F$16,F$22,$C33,$G$16)</f>
        <v>37558.253085900462</v>
      </c>
      <c r="G33" s="4">
        <f>_xll.DBRW($C$14,$E$16,$D$16,$F$16,G$22,$C33,$G$16)</f>
        <v>10479.742340791512</v>
      </c>
      <c r="H33" s="4">
        <f>_xll.DBRW($C$14,$E$16,$D$16,$F$16,H$22,$C33,$G$16)</f>
        <v>65771.452891879468</v>
      </c>
      <c r="I33" s="4">
        <f>_xll.DBRW($C$14,$E$16,$D$16,$F$16,I$22,$C33,$G$16)</f>
        <v>72205.394853359612</v>
      </c>
      <c r="J33" s="4">
        <f>_xll.DBRW($C$14,$E$16,$D$16,$F$16,J$22,$C33,$G$16)</f>
        <v>44270.83555492702</v>
      </c>
      <c r="K33" s="4">
        <f>_xll.DBRW($C$14,$E$16,$D$16,$F$16,K$22,$C33,$G$16)</f>
        <v>77898.919174430863</v>
      </c>
      <c r="L33" s="4">
        <f>_xll.DBRW($C$14,$E$16,$D$16,$F$16,L$22,$C33,$G$16)</f>
        <v>80597.37780713597</v>
      </c>
      <c r="M33" s="4">
        <f>_xll.DBRW($C$14,$E$16,$D$16,$F$16,M$22,$C33,$G$16)</f>
        <v>76658.69458976356</v>
      </c>
      <c r="N33" s="4">
        <f>_xll.DBRW($C$14,$E$16,$D$16,$F$16,N$22,$C33,$G$16)</f>
        <v>103645.77881096136</v>
      </c>
      <c r="O33" s="4">
        <f>_xll.DBRW($C$14,$E$16,$D$16,$F$16,O$22,$C33,$G$16)</f>
        <v>99488.544150248956</v>
      </c>
      <c r="P33" s="4">
        <f>_xll.DBRW($C$14,$E$16,$D$16,$F$16,P$22,$C33,$G$16)</f>
        <v>85243.531214469869</v>
      </c>
      <c r="Q33" s="38">
        <f>_xll.DBRW($C$14,$E$16,$D$16,$F$16,Q$22,$C33,$G$16)</f>
        <v>741609.36224111461</v>
      </c>
    </row>
    <row r="34" spans="2:17" s="2" customFormat="1" thickBot="1" x14ac:dyDescent="0.3">
      <c r="B34" s="2">
        <f>IF(_xll.TM1RPTELISCONSOLIDATED($C$23,$C34),IF(_xll.TM1RPTELLEV($C$23,$C34)&lt;=5,_xll.TM1RPTELLEV($C$23,$C34),"Default"),"Leaf")</f>
        <v>0</v>
      </c>
      <c r="C34" s="30" t="s">
        <v>23</v>
      </c>
      <c r="D34" s="3" t="str">
        <f>_xll.DBRW("24Retail:FcstMethod",$C34,"FcstMethod")</f>
        <v/>
      </c>
      <c r="E34" s="4">
        <f>_xll.DBRW($C$14,$E$16,$D$16,$F$16,E$22,$C34,$G$16)</f>
        <v>172.00380686655762</v>
      </c>
      <c r="F34" s="4">
        <f>_xll.DBRW($C$14,$E$16,$D$16,$F$16,F$22,$C34,$G$16)</f>
        <v>28160.550203799521</v>
      </c>
      <c r="G34" s="4">
        <f>_xll.DBRW($C$14,$E$16,$D$16,$F$16,G$22,$C34,$G$16)</f>
        <v>23565.399238493057</v>
      </c>
      <c r="H34" s="4">
        <f>_xll.DBRW($C$14,$E$16,$D$16,$F$16,H$22,$C34,$G$16)</f>
        <v>26790.50035121178</v>
      </c>
      <c r="I34" s="4">
        <f>_xll.DBRW($C$14,$E$16,$D$16,$F$16,I$22,$C34,$G$16)</f>
        <v>28459.126335036068</v>
      </c>
      <c r="J34" s="4">
        <f>_xll.DBRW($C$14,$E$16,$D$16,$F$16,J$22,$C34,$G$16)</f>
        <v>26478.639930469439</v>
      </c>
      <c r="K34" s="4">
        <f>_xll.DBRW($C$14,$E$16,$D$16,$F$16,K$22,$C34,$G$16)</f>
        <v>27317.60579357035</v>
      </c>
      <c r="L34" s="4">
        <f>_xll.DBRW($C$14,$E$16,$D$16,$F$16,L$22,$C34,$G$16)</f>
        <v>26891.586495406529</v>
      </c>
      <c r="M34" s="4">
        <f>_xll.DBRW($C$14,$E$16,$D$16,$F$16,M$22,$C34,$G$16)</f>
        <v>27334.632768788913</v>
      </c>
      <c r="N34" s="4">
        <f>_xll.DBRW($C$14,$E$16,$D$16,$F$16,N$22,$C34,$G$16)</f>
        <v>32181.862948218182</v>
      </c>
      <c r="O34" s="4">
        <f>_xll.DBRW($C$14,$E$16,$D$16,$F$16,O$22,$C34,$G$16)</f>
        <v>32406.224252382824</v>
      </c>
      <c r="P34" s="4">
        <f>_xll.DBRW($C$14,$E$16,$D$16,$F$16,P$22,$C34,$G$16)</f>
        <v>33244.741659774125</v>
      </c>
      <c r="Q34" s="38">
        <f>_xll.DBRW($C$14,$E$16,$D$16,$F$16,Q$22,$C34,$G$16)</f>
        <v>313002.87378401728</v>
      </c>
    </row>
    <row r="35" spans="2:17" s="2" customFormat="1" thickBot="1" x14ac:dyDescent="0.3">
      <c r="B35" s="2">
        <f>IF(_xll.TM1RPTELISCONSOLIDATED($C$23,$C35),IF(_xll.TM1RPTELLEV($C$23,$C35)&lt;=5,_xll.TM1RPTELLEV($C$23,$C35),"Default"),"Leaf")</f>
        <v>0</v>
      </c>
      <c r="C35" s="30" t="s">
        <v>24</v>
      </c>
      <c r="D35" s="3" t="str">
        <f>_xll.DBRW("24Retail:FcstMethod",$C35,"FcstMethod")</f>
        <v/>
      </c>
      <c r="E35" s="4">
        <f>_xll.DBRW($C$14,$E$16,$D$16,$F$16,E$22,$C35,$G$16)</f>
        <v>-12381.166039621039</v>
      </c>
      <c r="F35" s="4">
        <f>_xll.DBRW($C$14,$E$16,$D$16,$F$16,F$22,$C35,$G$16)</f>
        <v>9397.7028821009353</v>
      </c>
      <c r="G35" s="4">
        <f>_xll.DBRW($C$14,$E$16,$D$16,$F$16,G$22,$C35,$G$16)</f>
        <v>-13085.656897701543</v>
      </c>
      <c r="H35" s="4">
        <f>_xll.DBRW($C$14,$E$16,$D$16,$F$16,H$22,$C35,$G$16)</f>
        <v>38980.952540667691</v>
      </c>
      <c r="I35" s="4">
        <f>_xll.DBRW($C$14,$E$16,$D$16,$F$16,I$22,$C35,$G$16)</f>
        <v>43746.268518323544</v>
      </c>
      <c r="J35" s="4">
        <f>_xll.DBRW($C$14,$E$16,$D$16,$F$16,J$22,$C35,$G$16)</f>
        <v>17792.195624457578</v>
      </c>
      <c r="K35" s="4">
        <f>_xll.DBRW($C$14,$E$16,$D$16,$F$16,K$22,$C35,$G$16)</f>
        <v>50581.313380860498</v>
      </c>
      <c r="L35" s="4">
        <f>_xll.DBRW($C$14,$E$16,$D$16,$F$16,L$22,$C35,$G$16)</f>
        <v>53705.79131172943</v>
      </c>
      <c r="M35" s="4">
        <f>_xll.DBRW($C$14,$E$16,$D$16,$F$16,M$22,$C35,$G$16)</f>
        <v>49324.061820974632</v>
      </c>
      <c r="N35" s="4">
        <f>_xll.DBRW($C$14,$E$16,$D$16,$F$16,N$22,$C35,$G$16)</f>
        <v>71463.915862743175</v>
      </c>
      <c r="O35" s="4">
        <f>_xll.DBRW($C$14,$E$16,$D$16,$F$16,O$22,$C35,$G$16)</f>
        <v>67082.319897866138</v>
      </c>
      <c r="P35" s="4">
        <f>_xll.DBRW($C$14,$E$16,$D$16,$F$16,P$22,$C35,$G$16)</f>
        <v>51998.78955469573</v>
      </c>
      <c r="Q35" s="38">
        <f>_xll.DBRW($C$14,$E$16,$D$16,$F$16,Q$22,$C35,$G$16)</f>
        <v>428606.48845709715</v>
      </c>
    </row>
  </sheetData>
  <dataValidations count="1">
    <dataValidation allowBlank="1" showInputMessage="1" showErrorMessage="1" error="The value you entered is not valid._x000a_A user has restricted values that can be entered into this cell." sqref="E19:P19" xr:uid="{A2DA421E-E1CF-4C5E-BBDD-BF949EAFDB1B}"/>
  </dataValidations>
  <pageMargins left="0.7" right="0.7" top="0.75" bottom="0.75" header="0.3" footer="0.3"/>
  <pageSetup orientation="portrait" r:id="rId1"/>
  <customProperties>
    <customPr name="###UNCOMMITTEDCHANGES###" r:id="rId2"/>
    <customPr name="COR_DefaultExpandDirection" r:id="rId3"/>
    <customPr name="COR_GroupingOption" r:id="rId4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2DD1-83BB-41FB-8478-16694E01757D}">
  <dimension ref="A1:Q14"/>
  <sheetViews>
    <sheetView showGridLines="0" showRowColHeaders="0" topLeftCell="A3" workbookViewId="0">
      <selection activeCell="M35" sqref="M35"/>
    </sheetView>
  </sheetViews>
  <sheetFormatPr defaultRowHeight="14.25" x14ac:dyDescent="0.2"/>
  <cols>
    <col min="1" max="1" width="1.28515625" style="46" customWidth="1"/>
    <col min="2" max="2" width="16.5703125" style="46" hidden="1" customWidth="1"/>
    <col min="3" max="3" width="9.5703125" style="46" hidden="1" customWidth="1"/>
    <col min="4" max="17" width="14.140625" style="46" customWidth="1"/>
    <col min="18" max="16384" width="9.140625" style="46"/>
  </cols>
  <sheetData>
    <row r="1" spans="1:17" hidden="1" x14ac:dyDescent="0.2">
      <c r="D1" s="46" t="s">
        <v>38</v>
      </c>
      <c r="E1" s="46" t="str">
        <f>_xll.VIEW("24Retail:Income Statement",$K$5,$D$5,$M$5,"!",$F$5,"!")</f>
        <v>24Retail:Income Statement</v>
      </c>
    </row>
    <row r="2" spans="1:17" ht="15" hidden="1" x14ac:dyDescent="0.2">
      <c r="A2" s="48"/>
      <c r="B2" s="49"/>
      <c r="C2" s="49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4" spans="1:17" s="47" customFormat="1" ht="15" x14ac:dyDescent="0.25">
      <c r="D4" s="50" t="s">
        <v>39</v>
      </c>
      <c r="E4" s="51"/>
      <c r="F4" s="52" t="s">
        <v>40</v>
      </c>
      <c r="G4" s="50"/>
      <c r="H4" s="51"/>
      <c r="I4" s="52" t="s">
        <v>36</v>
      </c>
      <c r="J4" s="51"/>
      <c r="K4" s="52" t="s">
        <v>41</v>
      </c>
      <c r="L4" s="51"/>
      <c r="M4" s="52" t="s">
        <v>12</v>
      </c>
      <c r="N4" s="51"/>
      <c r="O4" s="52" t="s">
        <v>34</v>
      </c>
      <c r="P4" s="51"/>
    </row>
    <row r="5" spans="1:17" s="47" customFormat="1" ht="15" x14ac:dyDescent="0.25">
      <c r="D5" s="53" t="str">
        <f>_xll.SUBNM("24Retail:organization","Workflow","Massachusetts","Caption_Default")</f>
        <v>Massachusetts</v>
      </c>
      <c r="E5" s="53"/>
      <c r="F5" s="53" t="str">
        <f>_xll.SUBNM("24Retail:Account","","4999","Caption_Default")</f>
        <v>4999 Gross Revenue</v>
      </c>
      <c r="G5" s="53"/>
      <c r="H5" s="53"/>
      <c r="I5" s="53" t="str">
        <f>_xll.DBRW("24Retail:FcstMethod",$F5,"FcstMethod")</f>
        <v>Last Year Actual</v>
      </c>
      <c r="J5" s="53"/>
      <c r="K5" s="53" t="str">
        <f>_xll.SUBNM("24Retail:Currency Calc","Default","Local")</f>
        <v>Local</v>
      </c>
      <c r="L5" s="53"/>
      <c r="M5" s="53" t="str">
        <f>_xll.SUBNM("24Retail:Year","Default","Y2","Caption_Default")</f>
        <v>2021</v>
      </c>
      <c r="N5" s="53"/>
      <c r="O5" s="53" t="str">
        <f>_xll.DBRW("24Retail:calendar","Fcst Month","String")</f>
        <v>Feb</v>
      </c>
      <c r="P5" s="53"/>
    </row>
    <row r="6" spans="1:17" s="47" customFormat="1" x14ac:dyDescent="0.25"/>
    <row r="7" spans="1:17" s="47" customFormat="1" ht="15" x14ac:dyDescent="0.25">
      <c r="C7" s="54"/>
      <c r="D7" s="55"/>
      <c r="E7" s="55" t="str">
        <f>E8</f>
        <v>A</v>
      </c>
      <c r="F7" s="55" t="str">
        <f t="shared" ref="F7:P7" si="0">F8</f>
        <v>F</v>
      </c>
      <c r="G7" s="55" t="str">
        <f t="shared" si="0"/>
        <v>F</v>
      </c>
      <c r="H7" s="55" t="str">
        <f t="shared" si="0"/>
        <v>F</v>
      </c>
      <c r="I7" s="55" t="str">
        <f t="shared" si="0"/>
        <v>F</v>
      </c>
      <c r="J7" s="55" t="str">
        <f t="shared" si="0"/>
        <v>F</v>
      </c>
      <c r="K7" s="55" t="str">
        <f t="shared" si="0"/>
        <v>F</v>
      </c>
      <c r="L7" s="55" t="str">
        <f t="shared" si="0"/>
        <v>F</v>
      </c>
      <c r="M7" s="55" t="str">
        <f t="shared" si="0"/>
        <v>F</v>
      </c>
      <c r="N7" s="55" t="str">
        <f t="shared" si="0"/>
        <v>F</v>
      </c>
      <c r="O7" s="55" t="str">
        <f t="shared" si="0"/>
        <v>F</v>
      </c>
      <c r="P7" s="55" t="str">
        <f t="shared" si="0"/>
        <v>F</v>
      </c>
      <c r="Q7" s="55"/>
    </row>
    <row r="8" spans="1:17" s="47" customFormat="1" ht="15" hidden="1" x14ac:dyDescent="0.25">
      <c r="D8" s="55"/>
      <c r="E8" s="55" t="str">
        <f>_xll.DBRW("24Retail:Relative Time",$M$5,E$9,"ActFor")</f>
        <v>A</v>
      </c>
      <c r="F8" s="55" t="str">
        <f>_xll.DBRW("24Retail:Relative Time",$M$5,F$9,"ActFor")</f>
        <v>F</v>
      </c>
      <c r="G8" s="55" t="str">
        <f>_xll.DBRW("24Retail:Relative Time",$M$5,G$9,"ActFor")</f>
        <v>F</v>
      </c>
      <c r="H8" s="55" t="str">
        <f>_xll.DBRW("24Retail:Relative Time",$M$5,H$9,"ActFor")</f>
        <v>F</v>
      </c>
      <c r="I8" s="55" t="str">
        <f>_xll.DBRW("24Retail:Relative Time",$M$5,I$9,"ActFor")</f>
        <v>F</v>
      </c>
      <c r="J8" s="55" t="str">
        <f>_xll.DBRW("24Retail:Relative Time",$M$5,J$9,"ActFor")</f>
        <v>F</v>
      </c>
      <c r="K8" s="55" t="str">
        <f>_xll.DBRW("24Retail:Relative Time",$M$5,K$9,"ActFor")</f>
        <v>F</v>
      </c>
      <c r="L8" s="55" t="str">
        <f>_xll.DBRW("24Retail:Relative Time",$M$5,L$9,"ActFor")</f>
        <v>F</v>
      </c>
      <c r="M8" s="55" t="str">
        <f>_xll.DBRW("24Retail:Relative Time",$M$5,M$9,"ActFor")</f>
        <v>F</v>
      </c>
      <c r="N8" s="55" t="str">
        <f>_xll.DBRW("24Retail:Relative Time",$M$5,N$9,"ActFor")</f>
        <v>F</v>
      </c>
      <c r="O8" s="55" t="str">
        <f>_xll.DBRW("24Retail:Relative Time",$M$5,O$9,"ActFor")</f>
        <v>F</v>
      </c>
      <c r="P8" s="55" t="str">
        <f>_xll.DBRW("24Retail:Relative Time",$M$5,P$9,"ActFor")</f>
        <v>F</v>
      </c>
      <c r="Q8" s="55"/>
    </row>
    <row r="9" spans="1:17" s="47" customFormat="1" ht="15" x14ac:dyDescent="0.25">
      <c r="D9" s="56" t="s">
        <v>42</v>
      </c>
      <c r="E9" s="55" t="s">
        <v>0</v>
      </c>
      <c r="F9" s="55" t="s">
        <v>1</v>
      </c>
      <c r="G9" s="55" t="s">
        <v>2</v>
      </c>
      <c r="H9" s="55" t="s">
        <v>3</v>
      </c>
      <c r="I9" s="55" t="s">
        <v>4</v>
      </c>
      <c r="J9" s="55" t="s">
        <v>5</v>
      </c>
      <c r="K9" s="55" t="s">
        <v>6</v>
      </c>
      <c r="L9" s="55" t="s">
        <v>7</v>
      </c>
      <c r="M9" s="55" t="s">
        <v>8</v>
      </c>
      <c r="N9" s="55" t="s">
        <v>9</v>
      </c>
      <c r="O9" s="55" t="s">
        <v>10</v>
      </c>
      <c r="P9" s="55" t="s">
        <v>11</v>
      </c>
      <c r="Q9" s="55" t="s">
        <v>12</v>
      </c>
    </row>
    <row r="10" spans="1:17" s="47" customFormat="1" ht="15" x14ac:dyDescent="0.25"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</row>
    <row r="11" spans="1:17" ht="15" x14ac:dyDescent="0.25">
      <c r="B11" s="57" t="s">
        <v>43</v>
      </c>
      <c r="C11" s="57" t="s">
        <v>44</v>
      </c>
      <c r="D11" s="58" t="s">
        <v>44</v>
      </c>
      <c r="E11" s="59">
        <f>_xll.DBRW($E$1,$K$5,$D$5,$M$5,E$9,$F$5,$C11)</f>
        <v>531437.3442587977</v>
      </c>
      <c r="F11" s="59">
        <f>_xll.DBRW($E$1,$K$5,$D$5,$M$5,F$9,$F$5,$C11)</f>
        <v>541894.44671879767</v>
      </c>
      <c r="G11" s="59">
        <f>_xll.DBRW($E$1,$K$5,$D$5,$M$5,G$9,$F$5,$C11)</f>
        <v>544845.23230309191</v>
      </c>
      <c r="H11" s="59">
        <f>_xll.DBRW($E$1,$K$5,$D$5,$M$5,H$9,$F$5,$C11)</f>
        <v>551155.52251474222</v>
      </c>
      <c r="I11" s="59">
        <f>_xll.DBRW($E$1,$K$5,$D$5,$M$5,I$9,$F$5,$C11)</f>
        <v>540515.03850384825</v>
      </c>
      <c r="J11" s="59">
        <f>_xll.DBRW($E$1,$K$5,$D$5,$M$5,J$9,$F$5,$C11)</f>
        <v>548671.01639837259</v>
      </c>
      <c r="K11" s="59">
        <f>_xll.DBRW($E$1,$K$5,$D$5,$M$5,K$9,$F$5,$C11)</f>
        <v>548218.66164635099</v>
      </c>
      <c r="L11" s="59">
        <f>_xll.DBRW($E$1,$K$5,$D$5,$M$5,L$9,$F$5,$C11)</f>
        <v>575260.815202681</v>
      </c>
      <c r="M11" s="59">
        <f>_xll.DBRW($E$1,$K$5,$D$5,$M$5,M$9,$F$5,$C11)</f>
        <v>543623.46230140422</v>
      </c>
      <c r="N11" s="59">
        <f>_xll.DBRW($E$1,$K$5,$D$5,$M$5,N$9,$F$5,$C11)</f>
        <v>567707.88973742444</v>
      </c>
      <c r="O11" s="59">
        <f>_xll.DBRW($E$1,$K$5,$D$5,$M$5,O$9,$F$5,$C11)</f>
        <v>619584.34911138203</v>
      </c>
      <c r="P11" s="59">
        <f>_xll.DBRW($E$1,$K$5,$D$5,$M$5,P$9,$F$5,$C11)</f>
        <v>708212.97856140463</v>
      </c>
      <c r="Q11" s="60">
        <f>_xll.DBRW($E$1,$K$5,$D$5,$M$5,Q$9,$F$5,$C11)</f>
        <v>6821126.7572582979</v>
      </c>
    </row>
    <row r="12" spans="1:17" ht="15" x14ac:dyDescent="0.25">
      <c r="B12" s="57" t="str">
        <f>_xll.SUBNM("24Retail:Version","Current",_xll.DBR("24Retail:Calendar","Current Version","String"),"Caption_Default")</f>
        <v>Version1</v>
      </c>
      <c r="C12" s="57" t="s">
        <v>37</v>
      </c>
      <c r="D12" s="61" t="str">
        <f>_xll.SUBNM("24Retail:Version","Current","Budget","Caption_Default")</f>
        <v>Budget</v>
      </c>
      <c r="E12" s="59">
        <f>_xll.DBRW($E$1,$K$5,$D$5,$M$5,E$9,$F$5,$B12)</f>
        <v>726148.63770119241</v>
      </c>
      <c r="F12" s="59">
        <f>_xll.DBRW($E$1,$K$5,$D$5,$M$5,F$9,$F$5,$B12)</f>
        <v>895406.69837893033</v>
      </c>
      <c r="G12" s="59">
        <f>_xll.DBRW($E$1,$K$5,$D$5,$M$5,G$9,$F$5,$B12)</f>
        <v>783796.73576040834</v>
      </c>
      <c r="H12" s="59">
        <f>_xll.DBRW($E$1,$K$5,$D$5,$M$5,H$9,$F$5,$B12)</f>
        <v>795693.33285196859</v>
      </c>
      <c r="I12" s="59">
        <f>_xll.DBRW($E$1,$K$5,$D$5,$M$5,I$9,$F$5,$B12)</f>
        <v>845686.9850642751</v>
      </c>
      <c r="J12" s="59">
        <f>_xll.DBRW($E$1,$K$5,$D$5,$M$5,J$9,$F$5,$B12)</f>
        <v>828780.43890613061</v>
      </c>
      <c r="K12" s="59">
        <f>_xll.DBRW($E$1,$K$5,$D$5,$M$5,K$9,$F$5,$B12)</f>
        <v>847480.91340747732</v>
      </c>
      <c r="L12" s="59">
        <f>_xll.DBRW($E$1,$K$5,$D$5,$M$5,L$9,$F$5,$B12)</f>
        <v>856515.64283646457</v>
      </c>
      <c r="M12" s="59">
        <f>_xll.DBRW($E$1,$K$5,$D$5,$M$5,M$9,$F$5,$B12)</f>
        <v>877665.84380563442</v>
      </c>
      <c r="N12" s="59">
        <f>_xll.DBRW($E$1,$K$5,$D$5,$M$5,N$9,$F$5,$B12)</f>
        <v>1001742.0959066264</v>
      </c>
      <c r="O12" s="59">
        <f>_xll.DBRW($E$1,$K$5,$D$5,$M$5,O$9,$F$5,$B12)</f>
        <v>1019524.8719283346</v>
      </c>
      <c r="P12" s="59">
        <f>_xll.DBRW($E$1,$K$5,$D$5,$M$5,P$9,$F$5,$B12)</f>
        <v>1060085.1202257243</v>
      </c>
      <c r="Q12" s="60">
        <f>_xll.DBRW($E$1,$K$5,$D$5,$M$5,Q$9,$F$5,$B12)</f>
        <v>10538527.316773167</v>
      </c>
    </row>
    <row r="13" spans="1:17" ht="15" x14ac:dyDescent="0.25">
      <c r="B13" s="57" t="s">
        <v>45</v>
      </c>
      <c r="C13" s="57" t="s">
        <v>45</v>
      </c>
      <c r="D13" s="58" t="s">
        <v>45</v>
      </c>
      <c r="E13" s="59">
        <f>_xll.DBRW($E$1,$K$5,$D$5,$M$5,E$9,$F$5,$C13)</f>
        <v>531437.3442587977</v>
      </c>
      <c r="F13" s="59">
        <f>_xll.DBRW($E$1,$K$5,$D$5,$M$5,F$9,$F$5,$C13)</f>
        <v>736412.1641377972</v>
      </c>
      <c r="G13" s="59">
        <f>_xll.DBRW($E$1,$K$5,$D$5,$M$5,G$9,$F$5,$C13)</f>
        <v>739347.80648148549</v>
      </c>
      <c r="H13" s="59">
        <f>_xll.DBRW($E$1,$K$5,$D$5,$M$5,H$9,$F$5,$C13)</f>
        <v>741110.94882517355</v>
      </c>
      <c r="I13" s="59">
        <f>_xll.DBRW($E$1,$K$5,$D$5,$M$5,I$9,$F$5,$C13)</f>
        <v>750378.86666090076</v>
      </c>
      <c r="J13" s="59">
        <f>_xll.DBRW($E$1,$K$5,$D$5,$M$5,J$9,$F$5,$C13)</f>
        <v>753760.60900458891</v>
      </c>
      <c r="K13" s="59">
        <f>_xll.DBRW($E$1,$K$5,$D$5,$M$5,K$9,$F$5,$C13)</f>
        <v>760624.2268403162</v>
      </c>
      <c r="L13" s="59">
        <f>_xll.DBRW($E$1,$K$5,$D$5,$M$5,L$9,$F$5,$C13)</f>
        <v>769055.23701973155</v>
      </c>
      <c r="M13" s="59">
        <f>_xll.DBRW($E$1,$K$5,$D$5,$M$5,M$9,$F$5,$C13)</f>
        <v>846980.80485545879</v>
      </c>
      <c r="N13" s="59">
        <f>_xll.DBRW($E$1,$K$5,$D$5,$M$5,N$9,$F$5,$C13)</f>
        <v>857724.70485545893</v>
      </c>
      <c r="O13" s="59">
        <f>_xll.DBRW($E$1,$K$5,$D$5,$M$5,O$9,$F$5,$C13)</f>
        <v>862436.57637505606</v>
      </c>
      <c r="P13" s="59">
        <f>_xll.DBRW($E$1,$K$5,$D$5,$M$5,P$9,$F$5,$C13)</f>
        <v>950697.78731383849</v>
      </c>
      <c r="Q13" s="60">
        <f>_xll.DBRW($E$1,$K$5,$D$5,$M$5,Q$9,$F$5,$C13)</f>
        <v>9299967.076628603</v>
      </c>
    </row>
    <row r="14" spans="1:17" ht="15" x14ac:dyDescent="0.25">
      <c r="D14" s="58" t="s">
        <v>46</v>
      </c>
      <c r="E14" s="59">
        <f>E13-E12</f>
        <v>-194711.2934423947</v>
      </c>
      <c r="F14" s="59">
        <f t="shared" ref="F14:Q14" si="1">F13-F12</f>
        <v>-158994.53424113314</v>
      </c>
      <c r="G14" s="59">
        <f t="shared" si="1"/>
        <v>-44448.929278922849</v>
      </c>
      <c r="H14" s="59">
        <f t="shared" si="1"/>
        <v>-54582.384026795044</v>
      </c>
      <c r="I14" s="59">
        <f t="shared" si="1"/>
        <v>-95308.118403374334</v>
      </c>
      <c r="J14" s="59">
        <f t="shared" si="1"/>
        <v>-75019.8299015417</v>
      </c>
      <c r="K14" s="59">
        <f t="shared" si="1"/>
        <v>-86856.686567161116</v>
      </c>
      <c r="L14" s="59">
        <f t="shared" si="1"/>
        <v>-87460.405816733022</v>
      </c>
      <c r="M14" s="59">
        <f t="shared" si="1"/>
        <v>-30685.038950175629</v>
      </c>
      <c r="N14" s="59">
        <f t="shared" si="1"/>
        <v>-144017.39105116751</v>
      </c>
      <c r="O14" s="59">
        <f t="shared" si="1"/>
        <v>-157088.29555327853</v>
      </c>
      <c r="P14" s="59">
        <f t="shared" si="1"/>
        <v>-109387.33291188581</v>
      </c>
      <c r="Q14" s="60">
        <f t="shared" si="1"/>
        <v>-1238560.2401445638</v>
      </c>
    </row>
  </sheetData>
  <mergeCells count="12">
    <mergeCell ref="D5:E5"/>
    <mergeCell ref="F5:H5"/>
    <mergeCell ref="I5:J5"/>
    <mergeCell ref="K5:L5"/>
    <mergeCell ref="M5:N5"/>
    <mergeCell ref="O5:P5"/>
    <mergeCell ref="D4:E4"/>
    <mergeCell ref="F4:H4"/>
    <mergeCell ref="I4:J4"/>
    <mergeCell ref="K4:L4"/>
    <mergeCell ref="M4:N4"/>
    <mergeCell ref="O4:P4"/>
  </mergeCells>
  <conditionalFormatting sqref="Q11:Q13">
    <cfRule type="expression" dxfId="2" priority="3" stopIfTrue="1">
      <formula>Q$8="A"</formula>
    </cfRule>
  </conditionalFormatting>
  <conditionalFormatting sqref="E10:P10">
    <cfRule type="expression" dxfId="1" priority="1">
      <formula>E7="F"</formula>
    </cfRule>
    <cfRule type="expression" dxfId="0" priority="2">
      <formula>E7="A"</formula>
    </cfRule>
  </conditionalFormatting>
  <dataValidations count="1">
    <dataValidation allowBlank="1" showInputMessage="1" showErrorMessage="1" error="The value you entered is not valid._x000a_A user has restricted values that can be entered into this cell." sqref="E8:P8" xr:uid="{70E90214-BF2D-4715-A118-17C13A96F44F}"/>
  </dataValidations>
  <pageMargins left="0.7" right="0.7" top="0.75" bottom="0.75" header="0.3" footer="0.3"/>
  <ignoredErrors>
    <ignoredError sqref="E12:F12 G12:Q12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Rolling Fcst</vt:lpstr>
      <vt:lpstr>Fcst Detail</vt:lpstr>
      <vt:lpstr>'Rolling Fcst'!TM1RPTDATARNG14022269</vt:lpstr>
      <vt:lpstr>'Rolling Fcst'!TM1RPTFMTIDCOL14022269</vt:lpstr>
      <vt:lpstr>'Rolling Fcst'!TM1RPTFMTRNG14022269</vt:lpstr>
      <vt:lpstr>'Rolling Fcst'!TM1RPTQRYRNG14022269</vt:lpstr>
      <vt:lpstr>'Rolling Fcst'!TM1RPTVIEWRNG14022269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2022-01-12T01:27:07Z</dcterms:created>
  <dcterms:modified xsi:type="dcterms:W3CDTF">2022-01-12T02:12:58Z</dcterms:modified>
</cp:coreProperties>
</file>